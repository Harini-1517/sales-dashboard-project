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arin\Downloads\"/>
    </mc:Choice>
  </mc:AlternateContent>
  <xr:revisionPtr revIDLastSave="0" documentId="8_{1E7DD24F-2CF3-4FAF-95C4-3AFBACB22B2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_Data" sheetId="1" r:id="rId1"/>
    <sheet name="Dashboar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2" l="1"/>
  <c r="B5" i="2"/>
  <c r="B4" i="2"/>
  <c r="B3" i="2"/>
</calcChain>
</file>

<file path=xl/sharedStrings.xml><?xml version="1.0" encoding="utf-8"?>
<sst xmlns="http://schemas.openxmlformats.org/spreadsheetml/2006/main" count="1043" uniqueCount="389">
  <si>
    <t>Order ID</t>
  </si>
  <si>
    <t>Date</t>
  </si>
  <si>
    <t>Product</t>
  </si>
  <si>
    <t>Category</t>
  </si>
  <si>
    <t>Region</t>
  </si>
  <si>
    <t>Quantity</t>
  </si>
  <si>
    <t>Sales</t>
  </si>
  <si>
    <t>Profit</t>
  </si>
  <si>
    <t>ORD0001</t>
  </si>
  <si>
    <t>2025-07-26</t>
  </si>
  <si>
    <t>Mouse</t>
  </si>
  <si>
    <t>Accessories</t>
  </si>
  <si>
    <t>West</t>
  </si>
  <si>
    <t>ORD0002</t>
  </si>
  <si>
    <t>2025-09-12</t>
  </si>
  <si>
    <t>Laptop</t>
  </si>
  <si>
    <t>Electronics</t>
  </si>
  <si>
    <t>ORD0003</t>
  </si>
  <si>
    <t>2025-03-03</t>
  </si>
  <si>
    <t>Keyboard</t>
  </si>
  <si>
    <t>North</t>
  </si>
  <si>
    <t>ORD0004</t>
  </si>
  <si>
    <t>2025-01-05</t>
  </si>
  <si>
    <t>East</t>
  </si>
  <si>
    <t>ORD0005</t>
  </si>
  <si>
    <t>2025-07-09</t>
  </si>
  <si>
    <t>Monitor</t>
  </si>
  <si>
    <t>ORD0006</t>
  </si>
  <si>
    <t>2025-02-28</t>
  </si>
  <si>
    <t>ORD0007</t>
  </si>
  <si>
    <t>2025-11-10</t>
  </si>
  <si>
    <t>Speaker</t>
  </si>
  <si>
    <t>ORD0008</t>
  </si>
  <si>
    <t>2025-04-06</t>
  </si>
  <si>
    <t>South</t>
  </si>
  <si>
    <t>ORD0009</t>
  </si>
  <si>
    <t>2025-06-01</t>
  </si>
  <si>
    <t>ORD0010</t>
  </si>
  <si>
    <t>2025-03-04</t>
  </si>
  <si>
    <t>ORD0011</t>
  </si>
  <si>
    <t>2025-05-07</t>
  </si>
  <si>
    <t>Printer</t>
  </si>
  <si>
    <t>Office</t>
  </si>
  <si>
    <t>ORD0012</t>
  </si>
  <si>
    <t>2025-06-27</t>
  </si>
  <si>
    <t>ORD0013</t>
  </si>
  <si>
    <t>2025-05-08</t>
  </si>
  <si>
    <t>Tablet</t>
  </si>
  <si>
    <t>ORD0014</t>
  </si>
  <si>
    <t>2025-12-26</t>
  </si>
  <si>
    <t>ORD0015</t>
  </si>
  <si>
    <t>2025-05-02</t>
  </si>
  <si>
    <t>Phone</t>
  </si>
  <si>
    <t>ORD0016</t>
  </si>
  <si>
    <t>2025-12-15</t>
  </si>
  <si>
    <t>ORD0017</t>
  </si>
  <si>
    <t>2025-08-01</t>
  </si>
  <si>
    <t>ORD0018</t>
  </si>
  <si>
    <t>2025-04-24</t>
  </si>
  <si>
    <t>ORD0019</t>
  </si>
  <si>
    <t>2025-03-16</t>
  </si>
  <si>
    <t>ORD0020</t>
  </si>
  <si>
    <t>2025-12-09</t>
  </si>
  <si>
    <t>ORD0021</t>
  </si>
  <si>
    <t>2025-05-17</t>
  </si>
  <si>
    <t>ORD0022</t>
  </si>
  <si>
    <t>2025-10-31</t>
  </si>
  <si>
    <t>ORD0023</t>
  </si>
  <si>
    <t>2025-04-27</t>
  </si>
  <si>
    <t>ORD0024</t>
  </si>
  <si>
    <t>2025-10-22</t>
  </si>
  <si>
    <t>ORD0025</t>
  </si>
  <si>
    <t>2025-01-25</t>
  </si>
  <si>
    <t>ORD0026</t>
  </si>
  <si>
    <t>2025-06-30</t>
  </si>
  <si>
    <t>ORD0027</t>
  </si>
  <si>
    <t>2025-12-20</t>
  </si>
  <si>
    <t>ORD0028</t>
  </si>
  <si>
    <t>ORD0029</t>
  </si>
  <si>
    <t>2025-11-25</t>
  </si>
  <si>
    <t>ORD0030</t>
  </si>
  <si>
    <t>2025-03-13</t>
  </si>
  <si>
    <t>ORD0031</t>
  </si>
  <si>
    <t>2025-09-30</t>
  </si>
  <si>
    <t>ORD0032</t>
  </si>
  <si>
    <t>2025-09-01</t>
  </si>
  <si>
    <t>ORD0033</t>
  </si>
  <si>
    <t>2025-03-20</t>
  </si>
  <si>
    <t>ORD0034</t>
  </si>
  <si>
    <t>2025-02-08</t>
  </si>
  <si>
    <t>ORD0035</t>
  </si>
  <si>
    <t>2025-04-02</t>
  </si>
  <si>
    <t>ORD0036</t>
  </si>
  <si>
    <t>2025-04-20</t>
  </si>
  <si>
    <t>ORD0037</t>
  </si>
  <si>
    <t>2025-07-14</t>
  </si>
  <si>
    <t>ORD0038</t>
  </si>
  <si>
    <t>2025-11-28</t>
  </si>
  <si>
    <t>ORD0039</t>
  </si>
  <si>
    <t>2025-12-16</t>
  </si>
  <si>
    <t>ORD0040</t>
  </si>
  <si>
    <t>ORD0041</t>
  </si>
  <si>
    <t>2025-10-20</t>
  </si>
  <si>
    <t>ORD0042</t>
  </si>
  <si>
    <t>2025-12-07</t>
  </si>
  <si>
    <t>ORD0043</t>
  </si>
  <si>
    <t>ORD0044</t>
  </si>
  <si>
    <t>2025-05-29</t>
  </si>
  <si>
    <t>ORD0045</t>
  </si>
  <si>
    <t>2025-01-06</t>
  </si>
  <si>
    <t>ORD0046</t>
  </si>
  <si>
    <t>2025-07-24</t>
  </si>
  <si>
    <t>ORD0047</t>
  </si>
  <si>
    <t>ORD0048</t>
  </si>
  <si>
    <t>2025-09-11</t>
  </si>
  <si>
    <t>ORD0049</t>
  </si>
  <si>
    <t>2025-03-15</t>
  </si>
  <si>
    <t>ORD0050</t>
  </si>
  <si>
    <t>2025-10-09</t>
  </si>
  <si>
    <t>ORD0051</t>
  </si>
  <si>
    <t>2025-05-27</t>
  </si>
  <si>
    <t>ORD0052</t>
  </si>
  <si>
    <t>2025-07-23</t>
  </si>
  <si>
    <t>ORD0053</t>
  </si>
  <si>
    <t>2025-02-14</t>
  </si>
  <si>
    <t>ORD0054</t>
  </si>
  <si>
    <t>2025-12-21</t>
  </si>
  <si>
    <t>ORD0055</t>
  </si>
  <si>
    <t>2025-08-25</t>
  </si>
  <si>
    <t>ORD0056</t>
  </si>
  <si>
    <t>2025-05-18</t>
  </si>
  <si>
    <t>ORD0057</t>
  </si>
  <si>
    <t>2025-12-24</t>
  </si>
  <si>
    <t>ORD0058</t>
  </si>
  <si>
    <t>ORD0059</t>
  </si>
  <si>
    <t>ORD0060</t>
  </si>
  <si>
    <t>2025-02-18</t>
  </si>
  <si>
    <t>ORD0061</t>
  </si>
  <si>
    <t>2025-09-17</t>
  </si>
  <si>
    <t>ORD0062</t>
  </si>
  <si>
    <t>2025-07-29</t>
  </si>
  <si>
    <t>ORD0063</t>
  </si>
  <si>
    <t>2025-05-12</t>
  </si>
  <si>
    <t>ORD0064</t>
  </si>
  <si>
    <t>ORD0065</t>
  </si>
  <si>
    <t>2025-07-28</t>
  </si>
  <si>
    <t>ORD0066</t>
  </si>
  <si>
    <t>ORD0067</t>
  </si>
  <si>
    <t>2025-06-03</t>
  </si>
  <si>
    <t>ORD0068</t>
  </si>
  <si>
    <t>ORD0069</t>
  </si>
  <si>
    <t>2025-07-17</t>
  </si>
  <si>
    <t>ORD0070</t>
  </si>
  <si>
    <t>ORD0071</t>
  </si>
  <si>
    <t>2025-04-11</t>
  </si>
  <si>
    <t>ORD0072</t>
  </si>
  <si>
    <t>2025-02-05</t>
  </si>
  <si>
    <t>ORD0073</t>
  </si>
  <si>
    <t>2025-05-22</t>
  </si>
  <si>
    <t>ORD0074</t>
  </si>
  <si>
    <t>2025-05-03</t>
  </si>
  <si>
    <t>ORD0075</t>
  </si>
  <si>
    <t>2025-10-14</t>
  </si>
  <si>
    <t>ORD0076</t>
  </si>
  <si>
    <t>2026-01-01</t>
  </si>
  <si>
    <t>ORD0077</t>
  </si>
  <si>
    <t>2025-08-30</t>
  </si>
  <si>
    <t>ORD0078</t>
  </si>
  <si>
    <t>2025-11-13</t>
  </si>
  <si>
    <t>ORD0079</t>
  </si>
  <si>
    <t>2025-01-27</t>
  </si>
  <si>
    <t>ORD0080</t>
  </si>
  <si>
    <t>2025-06-25</t>
  </si>
  <si>
    <t>ORD0081</t>
  </si>
  <si>
    <t>2025-04-13</t>
  </si>
  <si>
    <t>ORD0082</t>
  </si>
  <si>
    <t>2025-02-17</t>
  </si>
  <si>
    <t>ORD0083</t>
  </si>
  <si>
    <t>ORD0084</t>
  </si>
  <si>
    <t>2025-10-17</t>
  </si>
  <si>
    <t>ORD0085</t>
  </si>
  <si>
    <t>2025-04-08</t>
  </si>
  <si>
    <t>ORD0086</t>
  </si>
  <si>
    <t>ORD0087</t>
  </si>
  <si>
    <t>2025-06-08</t>
  </si>
  <si>
    <t>ORD0088</t>
  </si>
  <si>
    <t>2025-09-22</t>
  </si>
  <si>
    <t>ORD0089</t>
  </si>
  <si>
    <t>ORD0090</t>
  </si>
  <si>
    <t>2025-04-17</t>
  </si>
  <si>
    <t>ORD0091</t>
  </si>
  <si>
    <t>2025-07-11</t>
  </si>
  <si>
    <t>ORD0092</t>
  </si>
  <si>
    <t>2025-08-04</t>
  </si>
  <si>
    <t>ORD0093</t>
  </si>
  <si>
    <t>2025-07-20</t>
  </si>
  <si>
    <t>ORD0094</t>
  </si>
  <si>
    <t>2025-09-02</t>
  </si>
  <si>
    <t>ORD0095</t>
  </si>
  <si>
    <t>2025-03-21</t>
  </si>
  <si>
    <t>ORD0096</t>
  </si>
  <si>
    <t>2025-02-21</t>
  </si>
  <si>
    <t>ORD0097</t>
  </si>
  <si>
    <t>2025-03-06</t>
  </si>
  <si>
    <t>ORD0098</t>
  </si>
  <si>
    <t>ORD0099</t>
  </si>
  <si>
    <t>2025-02-13</t>
  </si>
  <si>
    <t>ORD0100</t>
  </si>
  <si>
    <t>2025-06-04</t>
  </si>
  <si>
    <t>ORD0101</t>
  </si>
  <si>
    <t>2025-01-19</t>
  </si>
  <si>
    <t>ORD0102</t>
  </si>
  <si>
    <t>2025-07-31</t>
  </si>
  <si>
    <t>ORD0103</t>
  </si>
  <si>
    <t>2025-06-29</t>
  </si>
  <si>
    <t>ORD0104</t>
  </si>
  <si>
    <t>2025-09-21</t>
  </si>
  <si>
    <t>ORD0105</t>
  </si>
  <si>
    <t>ORD0106</t>
  </si>
  <si>
    <t>2025-03-08</t>
  </si>
  <si>
    <t>ORD0107</t>
  </si>
  <si>
    <t>2025-12-14</t>
  </si>
  <si>
    <t>ORD0108</t>
  </si>
  <si>
    <t>2025-04-01</t>
  </si>
  <si>
    <t>ORD0109</t>
  </si>
  <si>
    <t>2025-10-28</t>
  </si>
  <si>
    <t>ORD0110</t>
  </si>
  <si>
    <t>2025-11-06</t>
  </si>
  <si>
    <t>ORD0111</t>
  </si>
  <si>
    <t>2025-11-07</t>
  </si>
  <si>
    <t>ORD0112</t>
  </si>
  <si>
    <t>ORD0113</t>
  </si>
  <si>
    <t>2025-06-11</t>
  </si>
  <si>
    <t>ORD0114</t>
  </si>
  <si>
    <t>ORD0115</t>
  </si>
  <si>
    <t>ORD0116</t>
  </si>
  <si>
    <t>ORD0117</t>
  </si>
  <si>
    <t>2025-03-24</t>
  </si>
  <si>
    <t>ORD0118</t>
  </si>
  <si>
    <t>2025-01-15</t>
  </si>
  <si>
    <t>ORD0119</t>
  </si>
  <si>
    <t>2025-10-05</t>
  </si>
  <si>
    <t>ORD0120</t>
  </si>
  <si>
    <t>2025-05-16</t>
  </si>
  <si>
    <t>ORD0121</t>
  </si>
  <si>
    <t>2025-11-04</t>
  </si>
  <si>
    <t>ORD0122</t>
  </si>
  <si>
    <t>2025-10-04</t>
  </si>
  <si>
    <t>ORD0123</t>
  </si>
  <si>
    <t>2025-04-30</t>
  </si>
  <si>
    <t>ORD0124</t>
  </si>
  <si>
    <t>ORD0125</t>
  </si>
  <si>
    <t>ORD0126</t>
  </si>
  <si>
    <t>2025-01-29</t>
  </si>
  <si>
    <t>ORD0127</t>
  </si>
  <si>
    <t>ORD0128</t>
  </si>
  <si>
    <t>ORD0129</t>
  </si>
  <si>
    <t>2025-02-12</t>
  </si>
  <si>
    <t>ORD0130</t>
  </si>
  <si>
    <t>ORD0131</t>
  </si>
  <si>
    <t>2025-03-19</t>
  </si>
  <si>
    <t>ORD0132</t>
  </si>
  <si>
    <t>2025-03-18</t>
  </si>
  <si>
    <t>ORD0133</t>
  </si>
  <si>
    <t>ORD0134</t>
  </si>
  <si>
    <t>ORD0135</t>
  </si>
  <si>
    <t>2025-01-17</t>
  </si>
  <si>
    <t>ORD0136</t>
  </si>
  <si>
    <t>ORD0137</t>
  </si>
  <si>
    <t>2025-09-23</t>
  </si>
  <si>
    <t>ORD0138</t>
  </si>
  <si>
    <t>2025-11-20</t>
  </si>
  <si>
    <t>ORD0139</t>
  </si>
  <si>
    <t>ORD0140</t>
  </si>
  <si>
    <t>ORD0141</t>
  </si>
  <si>
    <t>2025-06-17</t>
  </si>
  <si>
    <t>ORD0142</t>
  </si>
  <si>
    <t>ORD0143</t>
  </si>
  <si>
    <t>2025-04-22</t>
  </si>
  <si>
    <t>ORD0144</t>
  </si>
  <si>
    <t>ORD0145</t>
  </si>
  <si>
    <t>ORD0146</t>
  </si>
  <si>
    <t>2025-11-03</t>
  </si>
  <si>
    <t>ORD0147</t>
  </si>
  <si>
    <t>2025-01-30</t>
  </si>
  <si>
    <t>ORD0148</t>
  </si>
  <si>
    <t>2025-10-24</t>
  </si>
  <si>
    <t>ORD0149</t>
  </si>
  <si>
    <t>ORD0150</t>
  </si>
  <si>
    <t>2025-06-06</t>
  </si>
  <si>
    <t>ORD0151</t>
  </si>
  <si>
    <t>ORD0152</t>
  </si>
  <si>
    <t>2025-09-25</t>
  </si>
  <si>
    <t>ORD0153</t>
  </si>
  <si>
    <t>2025-10-27</t>
  </si>
  <si>
    <t>ORD0154</t>
  </si>
  <si>
    <t>2025-07-02</t>
  </si>
  <si>
    <t>ORD0155</t>
  </si>
  <si>
    <t>2025-12-23</t>
  </si>
  <si>
    <t>ORD0156</t>
  </si>
  <si>
    <t>2025-11-26</t>
  </si>
  <si>
    <t>ORD0157</t>
  </si>
  <si>
    <t>2025-11-27</t>
  </si>
  <si>
    <t>ORD0158</t>
  </si>
  <si>
    <t>2025-12-29</t>
  </si>
  <si>
    <t>ORD0159</t>
  </si>
  <si>
    <t>ORD0160</t>
  </si>
  <si>
    <t>2025-11-15</t>
  </si>
  <si>
    <t>ORD0161</t>
  </si>
  <si>
    <t>2025-12-06</t>
  </si>
  <si>
    <t>ORD0162</t>
  </si>
  <si>
    <t>2025-07-16</t>
  </si>
  <si>
    <t>ORD0163</t>
  </si>
  <si>
    <t>2025-07-04</t>
  </si>
  <si>
    <t>ORD0164</t>
  </si>
  <si>
    <t>2025-07-15</t>
  </si>
  <si>
    <t>ORD0165</t>
  </si>
  <si>
    <t>ORD0166</t>
  </si>
  <si>
    <t>ORD0167</t>
  </si>
  <si>
    <t>2025-12-18</t>
  </si>
  <si>
    <t>ORD0168</t>
  </si>
  <si>
    <t>2025-06-07</t>
  </si>
  <si>
    <t>ORD0169</t>
  </si>
  <si>
    <t>ORD0170</t>
  </si>
  <si>
    <t>ORD0171</t>
  </si>
  <si>
    <t>ORD0172</t>
  </si>
  <si>
    <t>2025-02-25</t>
  </si>
  <si>
    <t>ORD0173</t>
  </si>
  <si>
    <t>ORD0174</t>
  </si>
  <si>
    <t>ORD0175</t>
  </si>
  <si>
    <t>2025-10-12</t>
  </si>
  <si>
    <t>ORD0176</t>
  </si>
  <si>
    <t>ORD0177</t>
  </si>
  <si>
    <t>2025-06-19</t>
  </si>
  <si>
    <t>ORD0178</t>
  </si>
  <si>
    <t>ORD0179</t>
  </si>
  <si>
    <t>2025-09-29</t>
  </si>
  <si>
    <t>ORD0180</t>
  </si>
  <si>
    <t>ORD0181</t>
  </si>
  <si>
    <t>ORD0182</t>
  </si>
  <si>
    <t>2025-08-24</t>
  </si>
  <si>
    <t>ORD0183</t>
  </si>
  <si>
    <t>2025-05-15</t>
  </si>
  <si>
    <t>ORD0184</t>
  </si>
  <si>
    <t>2025-11-08</t>
  </si>
  <si>
    <t>ORD0185</t>
  </si>
  <si>
    <t>ORD0186</t>
  </si>
  <si>
    <t>ORD0187</t>
  </si>
  <si>
    <t>ORD0188</t>
  </si>
  <si>
    <t>2025-02-11</t>
  </si>
  <si>
    <t>ORD0189</t>
  </si>
  <si>
    <t>ORD0190</t>
  </si>
  <si>
    <t>2025-05-24</t>
  </si>
  <si>
    <t>ORD0191</t>
  </si>
  <si>
    <t>2025-10-13</t>
  </si>
  <si>
    <t>ORD0192</t>
  </si>
  <si>
    <t>ORD0193</t>
  </si>
  <si>
    <t>2025-02-19</t>
  </si>
  <si>
    <t>ORD0194</t>
  </si>
  <si>
    <t>2025-07-07</t>
  </si>
  <si>
    <t>ORD0195</t>
  </si>
  <si>
    <t>2025-08-07</t>
  </si>
  <si>
    <t>ORD0196</t>
  </si>
  <si>
    <t>2025-08-03</t>
  </si>
  <si>
    <t>ORD0197</t>
  </si>
  <si>
    <t>ORD0198</t>
  </si>
  <si>
    <t>2025-04-19</t>
  </si>
  <si>
    <t>ORD0199</t>
  </si>
  <si>
    <t>2025-01-02</t>
  </si>
  <si>
    <t>ORD0200</t>
  </si>
  <si>
    <t>Sales &amp; Revenue Dashboard</t>
  </si>
  <si>
    <t>Month</t>
  </si>
  <si>
    <t>Revenue</t>
  </si>
  <si>
    <t>Jan</t>
  </si>
  <si>
    <t>Total Sales</t>
  </si>
  <si>
    <t>Feb</t>
  </si>
  <si>
    <t>Total Profit</t>
  </si>
  <si>
    <t>Mar</t>
  </si>
  <si>
    <t>Total Orders</t>
  </si>
  <si>
    <t>Apr</t>
  </si>
  <si>
    <t>Average Sales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</si>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</sst>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6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Revenue Trend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Dashboard!$E$1</c:f>
              <c:strCache>
                <c:ptCount val="1"/>
                <c:pt idx="0">
                  <c:v>Revenue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Dashboard!$D$2:$D$13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Dashboard!$E$2:$E$13</c:f>
              <c:numCache>
                <c:formatCode>General</c:formatCode>
                <c:ptCount val="12"/>
                <c:pt idx="0">
                  <c:v>605266</c:v>
                </c:pt>
                <c:pt idx="1">
                  <c:v>653440</c:v>
                </c:pt>
                <c:pt idx="2">
                  <c:v>312349</c:v>
                </c:pt>
                <c:pt idx="3">
                  <c:v>173158</c:v>
                </c:pt>
                <c:pt idx="4">
                  <c:v>127793</c:v>
                </c:pt>
                <c:pt idx="5">
                  <c:v>230683</c:v>
                </c:pt>
                <c:pt idx="6">
                  <c:v>660305</c:v>
                </c:pt>
                <c:pt idx="7">
                  <c:v>338039</c:v>
                </c:pt>
                <c:pt idx="8">
                  <c:v>243202</c:v>
                </c:pt>
                <c:pt idx="9">
                  <c:v>614453</c:v>
                </c:pt>
                <c:pt idx="10">
                  <c:v>281181</c:v>
                </c:pt>
                <c:pt idx="11">
                  <c:v>140717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57D-4C3B-A032-B8B95FBA61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Top Products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Dashboard!$E$15</c:f>
              <c:strCache>
                <c:ptCount val="1"/>
                <c:pt idx="0">
                  <c:v>Sales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Dashboard!$D$16:$D$23</c:f>
              <c:strCache>
                <c:ptCount val="8"/>
                <c:pt idx="0">
                  <c:v>Laptop</c:v>
                </c:pt>
                <c:pt idx="1">
                  <c:v>Mouse</c:v>
                </c:pt>
                <c:pt idx="2">
                  <c:v>Keyboard</c:v>
                </c:pt>
                <c:pt idx="3">
                  <c:v>Monitor</c:v>
                </c:pt>
                <c:pt idx="4">
                  <c:v>Printer</c:v>
                </c:pt>
                <c:pt idx="5">
                  <c:v>Tablet</c:v>
                </c:pt>
                <c:pt idx="6">
                  <c:v>Phone</c:v>
                </c:pt>
                <c:pt idx="7">
                  <c:v>Speaker</c:v>
                </c:pt>
              </c:strCache>
            </c:strRef>
          </c:cat>
          <c:val>
            <c:numRef>
              <c:f>Dashboard!$E$16:$E$23</c:f>
              <c:numCache>
                <c:formatCode>General</c:formatCode>
                <c:ptCount val="8"/>
                <c:pt idx="0">
                  <c:v>279606</c:v>
                </c:pt>
                <c:pt idx="1">
                  <c:v>278648</c:v>
                </c:pt>
                <c:pt idx="2">
                  <c:v>382814</c:v>
                </c:pt>
                <c:pt idx="3">
                  <c:v>115347</c:v>
                </c:pt>
                <c:pt idx="4">
                  <c:v>386912</c:v>
                </c:pt>
                <c:pt idx="5">
                  <c:v>167342</c:v>
                </c:pt>
                <c:pt idx="6">
                  <c:v>383035</c:v>
                </c:pt>
                <c:pt idx="7">
                  <c:v>463608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D0-43E9-AA73-B8FF49571F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Sales by Region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Dashboard!$K$15</c:f>
              <c:strCache>
                <c:ptCount val="1"/>
                <c:pt idx="0">
                  <c:v>Sales</c:v>
                </c:pt>
              </c:strCache>
            </c:strRef>
          </c:tx>
          <c:spPr>
            <a:ln>
              <a:prstDash val="solid"/>
            </a:ln>
          </c:spPr>
          <c:cat>
            <c:strRef>
              <c:f>Dashboard!$J$16:$J$19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Dashboard!$K$16:$K$19</c:f>
              <c:numCache>
                <c:formatCode>General</c:formatCode>
                <c:ptCount val="4"/>
                <c:pt idx="0">
                  <c:v>251924</c:v>
                </c:pt>
                <c:pt idx="1">
                  <c:v>338501</c:v>
                </c:pt>
                <c:pt idx="2">
                  <c:v>360528</c:v>
                </c:pt>
                <c:pt idx="3">
                  <c:v>412742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5F-41B0-A2A6-D37D601942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6</xdr:col>
      <xdr:colOff>0</xdr:colOff>
      <xdr:row>17</xdr:row>
      <xdr:rowOff>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12</xdr:col>
      <xdr:colOff>0</xdr:colOff>
      <xdr:row>14</xdr:row>
      <xdr:rowOff>0</xdr:rowOff>
    </xdr:from>
    <xdr:ext cx="5400000" cy="27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1"/>
  <sheetViews>
    <sheetView tabSelected="1" topLeftCell="A6" workbookViewId="0">
      <selection activeCell="L173" sqref="L173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7</v>
      </c>
      <c r="G2">
        <v>47705</v>
      </c>
      <c r="H2">
        <v>12823.77</v>
      </c>
    </row>
    <row r="3" spans="1:8" x14ac:dyDescent="0.3">
      <c r="A3" t="s">
        <v>13</v>
      </c>
      <c r="B3" t="s">
        <v>14</v>
      </c>
      <c r="C3" t="s">
        <v>15</v>
      </c>
      <c r="D3" t="s">
        <v>16</v>
      </c>
      <c r="E3" t="s">
        <v>12</v>
      </c>
      <c r="F3">
        <v>2</v>
      </c>
      <c r="G3">
        <v>92578</v>
      </c>
      <c r="H3">
        <v>24458.25</v>
      </c>
    </row>
    <row r="4" spans="1:8" x14ac:dyDescent="0.3">
      <c r="A4" t="s">
        <v>17</v>
      </c>
      <c r="B4" t="s">
        <v>18</v>
      </c>
      <c r="C4" t="s">
        <v>19</v>
      </c>
      <c r="D4" t="s">
        <v>11</v>
      </c>
      <c r="E4" t="s">
        <v>20</v>
      </c>
      <c r="F4">
        <v>3</v>
      </c>
      <c r="G4">
        <v>91554</v>
      </c>
      <c r="H4">
        <v>28951.8</v>
      </c>
    </row>
    <row r="5" spans="1:8" x14ac:dyDescent="0.3">
      <c r="A5" t="s">
        <v>21</v>
      </c>
      <c r="B5" t="s">
        <v>22</v>
      </c>
      <c r="C5" t="s">
        <v>15</v>
      </c>
      <c r="D5" t="s">
        <v>16</v>
      </c>
      <c r="E5" t="s">
        <v>23</v>
      </c>
      <c r="F5">
        <v>8</v>
      </c>
      <c r="G5">
        <v>198960</v>
      </c>
      <c r="H5">
        <v>63911.11</v>
      </c>
    </row>
    <row r="6" spans="1:8" x14ac:dyDescent="0.3">
      <c r="A6" t="s">
        <v>24</v>
      </c>
      <c r="B6" t="s">
        <v>25</v>
      </c>
      <c r="C6" t="s">
        <v>26</v>
      </c>
      <c r="D6" t="s">
        <v>16</v>
      </c>
      <c r="E6" t="s">
        <v>23</v>
      </c>
      <c r="F6">
        <v>9</v>
      </c>
      <c r="G6">
        <v>142983</v>
      </c>
      <c r="H6">
        <v>23725.45</v>
      </c>
    </row>
    <row r="7" spans="1:8" x14ac:dyDescent="0.3">
      <c r="A7" t="s">
        <v>27</v>
      </c>
      <c r="B7" t="s">
        <v>28</v>
      </c>
      <c r="C7" t="s">
        <v>15</v>
      </c>
      <c r="D7" t="s">
        <v>16</v>
      </c>
      <c r="E7" t="s">
        <v>12</v>
      </c>
      <c r="F7">
        <v>7</v>
      </c>
      <c r="G7">
        <v>82964</v>
      </c>
      <c r="H7">
        <v>12093.04</v>
      </c>
    </row>
    <row r="8" spans="1:8" x14ac:dyDescent="0.3">
      <c r="A8" t="s">
        <v>29</v>
      </c>
      <c r="B8" t="s">
        <v>30</v>
      </c>
      <c r="C8" t="s">
        <v>31</v>
      </c>
      <c r="D8" t="s">
        <v>11</v>
      </c>
      <c r="E8" t="s">
        <v>12</v>
      </c>
      <c r="F8">
        <v>2</v>
      </c>
      <c r="G8">
        <v>82484</v>
      </c>
      <c r="H8">
        <v>26200.400000000001</v>
      </c>
    </row>
    <row r="9" spans="1:8" x14ac:dyDescent="0.3">
      <c r="A9" t="s">
        <v>32</v>
      </c>
      <c r="B9" t="s">
        <v>33</v>
      </c>
      <c r="C9" t="s">
        <v>31</v>
      </c>
      <c r="D9" t="s">
        <v>11</v>
      </c>
      <c r="E9" t="s">
        <v>34</v>
      </c>
      <c r="F9">
        <v>8</v>
      </c>
      <c r="G9">
        <v>139496</v>
      </c>
      <c r="H9">
        <v>20407.439999999999</v>
      </c>
    </row>
    <row r="10" spans="1:8" x14ac:dyDescent="0.3">
      <c r="A10" t="s">
        <v>35</v>
      </c>
      <c r="B10" t="s">
        <v>36</v>
      </c>
      <c r="C10" t="s">
        <v>15</v>
      </c>
      <c r="D10" t="s">
        <v>16</v>
      </c>
      <c r="E10" t="s">
        <v>12</v>
      </c>
      <c r="F10">
        <v>10</v>
      </c>
      <c r="G10">
        <v>28390</v>
      </c>
      <c r="H10">
        <v>9242.6299999999992</v>
      </c>
    </row>
    <row r="11" spans="1:8" x14ac:dyDescent="0.3">
      <c r="A11" t="s">
        <v>37</v>
      </c>
      <c r="B11" t="s">
        <v>38</v>
      </c>
      <c r="C11" t="s">
        <v>26</v>
      </c>
      <c r="D11" t="s">
        <v>16</v>
      </c>
      <c r="E11" t="s">
        <v>20</v>
      </c>
      <c r="F11">
        <v>5</v>
      </c>
      <c r="G11">
        <v>198570</v>
      </c>
      <c r="H11">
        <v>28038.13</v>
      </c>
    </row>
    <row r="12" spans="1:8" x14ac:dyDescent="0.3">
      <c r="A12" t="s">
        <v>39</v>
      </c>
      <c r="B12" t="s">
        <v>40</v>
      </c>
      <c r="C12" t="s">
        <v>41</v>
      </c>
      <c r="D12" t="s">
        <v>42</v>
      </c>
      <c r="E12" t="s">
        <v>23</v>
      </c>
      <c r="F12">
        <v>1</v>
      </c>
      <c r="G12">
        <v>48537</v>
      </c>
      <c r="H12">
        <v>5062.8900000000003</v>
      </c>
    </row>
    <row r="13" spans="1:8" x14ac:dyDescent="0.3">
      <c r="A13" t="s">
        <v>43</v>
      </c>
      <c r="B13" t="s">
        <v>44</v>
      </c>
      <c r="C13" t="s">
        <v>15</v>
      </c>
      <c r="D13" t="s">
        <v>16</v>
      </c>
      <c r="E13" t="s">
        <v>23</v>
      </c>
      <c r="F13">
        <v>7</v>
      </c>
      <c r="G13">
        <v>329658</v>
      </c>
      <c r="H13">
        <v>68605.59</v>
      </c>
    </row>
    <row r="14" spans="1:8" x14ac:dyDescent="0.3">
      <c r="A14" t="s">
        <v>45</v>
      </c>
      <c r="B14" t="s">
        <v>46</v>
      </c>
      <c r="C14" t="s">
        <v>47</v>
      </c>
      <c r="D14" t="s">
        <v>16</v>
      </c>
      <c r="E14" t="s">
        <v>12</v>
      </c>
      <c r="F14">
        <v>5</v>
      </c>
      <c r="G14">
        <v>229600</v>
      </c>
      <c r="H14">
        <v>48096.63</v>
      </c>
    </row>
    <row r="15" spans="1:8" x14ac:dyDescent="0.3">
      <c r="A15" t="s">
        <v>48</v>
      </c>
      <c r="B15" t="s">
        <v>49</v>
      </c>
      <c r="C15" t="s">
        <v>41</v>
      </c>
      <c r="D15" t="s">
        <v>42</v>
      </c>
      <c r="E15" t="s">
        <v>20</v>
      </c>
      <c r="F15">
        <v>9</v>
      </c>
      <c r="G15">
        <v>132273</v>
      </c>
      <c r="H15">
        <v>39528.94</v>
      </c>
    </row>
    <row r="16" spans="1:8" x14ac:dyDescent="0.3">
      <c r="A16" t="s">
        <v>50</v>
      </c>
      <c r="B16" t="s">
        <v>51</v>
      </c>
      <c r="C16" t="s">
        <v>52</v>
      </c>
      <c r="D16" t="s">
        <v>16</v>
      </c>
      <c r="E16" t="s">
        <v>12</v>
      </c>
      <c r="F16">
        <v>4</v>
      </c>
      <c r="G16">
        <v>196052</v>
      </c>
      <c r="H16">
        <v>38195.29</v>
      </c>
    </row>
    <row r="17" spans="1:8" x14ac:dyDescent="0.3">
      <c r="A17" t="s">
        <v>53</v>
      </c>
      <c r="B17" t="s">
        <v>54</v>
      </c>
      <c r="C17" t="s">
        <v>19</v>
      </c>
      <c r="D17" t="s">
        <v>11</v>
      </c>
      <c r="E17" t="s">
        <v>23</v>
      </c>
      <c r="F17">
        <v>7</v>
      </c>
      <c r="G17">
        <v>272230</v>
      </c>
      <c r="H17">
        <v>35115.42</v>
      </c>
    </row>
    <row r="18" spans="1:8" x14ac:dyDescent="0.3">
      <c r="A18" t="s">
        <v>55</v>
      </c>
      <c r="B18" t="s">
        <v>56</v>
      </c>
      <c r="C18" t="s">
        <v>31</v>
      </c>
      <c r="D18" t="s">
        <v>11</v>
      </c>
      <c r="E18" t="s">
        <v>34</v>
      </c>
      <c r="F18">
        <v>6</v>
      </c>
      <c r="G18">
        <v>30750</v>
      </c>
      <c r="H18">
        <v>3230.73</v>
      </c>
    </row>
    <row r="19" spans="1:8" x14ac:dyDescent="0.3">
      <c r="A19" t="s">
        <v>57</v>
      </c>
      <c r="B19" t="s">
        <v>58</v>
      </c>
      <c r="C19" t="s">
        <v>19</v>
      </c>
      <c r="D19" t="s">
        <v>11</v>
      </c>
      <c r="E19" t="s">
        <v>23</v>
      </c>
      <c r="F19">
        <v>3</v>
      </c>
      <c r="G19">
        <v>116679</v>
      </c>
      <c r="H19">
        <v>36924.94</v>
      </c>
    </row>
    <row r="20" spans="1:8" x14ac:dyDescent="0.3">
      <c r="A20" t="s">
        <v>59</v>
      </c>
      <c r="B20" t="s">
        <v>60</v>
      </c>
      <c r="C20" t="s">
        <v>31</v>
      </c>
      <c r="D20" t="s">
        <v>11</v>
      </c>
      <c r="E20" t="s">
        <v>23</v>
      </c>
      <c r="F20">
        <v>2</v>
      </c>
      <c r="G20">
        <v>21272</v>
      </c>
      <c r="H20">
        <v>7282.77</v>
      </c>
    </row>
    <row r="21" spans="1:8" x14ac:dyDescent="0.3">
      <c r="A21" t="s">
        <v>61</v>
      </c>
      <c r="B21" t="s">
        <v>62</v>
      </c>
      <c r="C21" t="s">
        <v>31</v>
      </c>
      <c r="D21" t="s">
        <v>11</v>
      </c>
      <c r="E21" t="s">
        <v>20</v>
      </c>
      <c r="F21">
        <v>2</v>
      </c>
      <c r="G21">
        <v>76378</v>
      </c>
      <c r="H21">
        <v>16186.83</v>
      </c>
    </row>
    <row r="22" spans="1:8" x14ac:dyDescent="0.3">
      <c r="A22" t="s">
        <v>63</v>
      </c>
      <c r="B22" t="s">
        <v>64</v>
      </c>
      <c r="C22" t="s">
        <v>19</v>
      </c>
      <c r="D22" t="s">
        <v>11</v>
      </c>
      <c r="E22" t="s">
        <v>20</v>
      </c>
      <c r="F22">
        <v>6</v>
      </c>
      <c r="G22">
        <v>238548</v>
      </c>
      <c r="H22">
        <v>60083.6</v>
      </c>
    </row>
    <row r="23" spans="1:8" x14ac:dyDescent="0.3">
      <c r="A23" t="s">
        <v>65</v>
      </c>
      <c r="B23" t="s">
        <v>66</v>
      </c>
      <c r="C23" t="s">
        <v>19</v>
      </c>
      <c r="D23" t="s">
        <v>11</v>
      </c>
      <c r="E23" t="s">
        <v>20</v>
      </c>
      <c r="F23">
        <v>4</v>
      </c>
      <c r="G23">
        <v>67316</v>
      </c>
      <c r="H23">
        <v>13623.5</v>
      </c>
    </row>
    <row r="24" spans="1:8" x14ac:dyDescent="0.3">
      <c r="A24" t="s">
        <v>67</v>
      </c>
      <c r="B24" t="s">
        <v>68</v>
      </c>
      <c r="C24" t="s">
        <v>26</v>
      </c>
      <c r="D24" t="s">
        <v>16</v>
      </c>
      <c r="E24" t="s">
        <v>34</v>
      </c>
      <c r="F24">
        <v>9</v>
      </c>
      <c r="G24">
        <v>308268</v>
      </c>
      <c r="H24">
        <v>77224.08</v>
      </c>
    </row>
    <row r="25" spans="1:8" x14ac:dyDescent="0.3">
      <c r="A25" t="s">
        <v>69</v>
      </c>
      <c r="B25" t="s">
        <v>70</v>
      </c>
      <c r="C25" t="s">
        <v>26</v>
      </c>
      <c r="D25" t="s">
        <v>16</v>
      </c>
      <c r="E25" t="s">
        <v>34</v>
      </c>
      <c r="F25">
        <v>7</v>
      </c>
      <c r="G25">
        <v>106652</v>
      </c>
      <c r="H25">
        <v>14592.74</v>
      </c>
    </row>
    <row r="26" spans="1:8" x14ac:dyDescent="0.3">
      <c r="A26" t="s">
        <v>71</v>
      </c>
      <c r="B26" t="s">
        <v>72</v>
      </c>
      <c r="C26" t="s">
        <v>41</v>
      </c>
      <c r="D26" t="s">
        <v>42</v>
      </c>
      <c r="E26" t="s">
        <v>34</v>
      </c>
      <c r="F26">
        <v>3</v>
      </c>
      <c r="G26">
        <v>140646</v>
      </c>
      <c r="H26">
        <v>36416.36</v>
      </c>
    </row>
    <row r="27" spans="1:8" x14ac:dyDescent="0.3">
      <c r="A27" t="s">
        <v>73</v>
      </c>
      <c r="B27" t="s">
        <v>74</v>
      </c>
      <c r="C27" t="s">
        <v>26</v>
      </c>
      <c r="D27" t="s">
        <v>16</v>
      </c>
      <c r="E27" t="s">
        <v>34</v>
      </c>
      <c r="F27">
        <v>8</v>
      </c>
      <c r="G27">
        <v>123280</v>
      </c>
      <c r="H27">
        <v>29343.38</v>
      </c>
    </row>
    <row r="28" spans="1:8" x14ac:dyDescent="0.3">
      <c r="A28" t="s">
        <v>75</v>
      </c>
      <c r="B28" t="s">
        <v>76</v>
      </c>
      <c r="C28" t="s">
        <v>47</v>
      </c>
      <c r="D28" t="s">
        <v>16</v>
      </c>
      <c r="E28" t="s">
        <v>20</v>
      </c>
      <c r="F28">
        <v>5</v>
      </c>
      <c r="G28">
        <v>226930</v>
      </c>
      <c r="H28">
        <v>35225.480000000003</v>
      </c>
    </row>
    <row r="29" spans="1:8" x14ac:dyDescent="0.3">
      <c r="A29" t="s">
        <v>77</v>
      </c>
      <c r="B29" t="s">
        <v>33</v>
      </c>
      <c r="C29" t="s">
        <v>10</v>
      </c>
      <c r="D29" t="s">
        <v>11</v>
      </c>
      <c r="E29" t="s">
        <v>20</v>
      </c>
      <c r="F29">
        <v>10</v>
      </c>
      <c r="G29">
        <v>381520</v>
      </c>
      <c r="H29">
        <v>75061.27</v>
      </c>
    </row>
    <row r="30" spans="1:8" x14ac:dyDescent="0.3">
      <c r="A30" t="s">
        <v>78</v>
      </c>
      <c r="B30" t="s">
        <v>79</v>
      </c>
      <c r="C30" t="s">
        <v>19</v>
      </c>
      <c r="D30" t="s">
        <v>11</v>
      </c>
      <c r="E30" t="s">
        <v>12</v>
      </c>
      <c r="F30">
        <v>5</v>
      </c>
      <c r="G30">
        <v>213060</v>
      </c>
      <c r="H30">
        <v>27619.71</v>
      </c>
    </row>
    <row r="31" spans="1:8" x14ac:dyDescent="0.3">
      <c r="A31" t="s">
        <v>80</v>
      </c>
      <c r="B31" t="s">
        <v>81</v>
      </c>
      <c r="C31" t="s">
        <v>52</v>
      </c>
      <c r="D31" t="s">
        <v>16</v>
      </c>
      <c r="E31" t="s">
        <v>20</v>
      </c>
      <c r="F31">
        <v>9</v>
      </c>
      <c r="G31">
        <v>357003</v>
      </c>
      <c r="H31">
        <v>94817.42</v>
      </c>
    </row>
    <row r="32" spans="1:8" x14ac:dyDescent="0.3">
      <c r="A32" t="s">
        <v>82</v>
      </c>
      <c r="B32" t="s">
        <v>83</v>
      </c>
      <c r="C32" t="s">
        <v>26</v>
      </c>
      <c r="D32" t="s">
        <v>16</v>
      </c>
      <c r="E32" t="s">
        <v>34</v>
      </c>
      <c r="F32">
        <v>9</v>
      </c>
      <c r="G32">
        <v>206379</v>
      </c>
      <c r="H32">
        <v>32058.79</v>
      </c>
    </row>
    <row r="33" spans="1:8" x14ac:dyDescent="0.3">
      <c r="A33" t="s">
        <v>84</v>
      </c>
      <c r="B33" t="s">
        <v>85</v>
      </c>
      <c r="C33" t="s">
        <v>19</v>
      </c>
      <c r="D33" t="s">
        <v>11</v>
      </c>
      <c r="E33" t="s">
        <v>20</v>
      </c>
      <c r="F33">
        <v>2</v>
      </c>
      <c r="G33">
        <v>15456</v>
      </c>
      <c r="H33">
        <v>3206.53</v>
      </c>
    </row>
    <row r="34" spans="1:8" x14ac:dyDescent="0.3">
      <c r="A34" t="s">
        <v>86</v>
      </c>
      <c r="B34" t="s">
        <v>87</v>
      </c>
      <c r="C34" t="s">
        <v>19</v>
      </c>
      <c r="D34" t="s">
        <v>11</v>
      </c>
      <c r="E34" t="s">
        <v>34</v>
      </c>
      <c r="F34">
        <v>2</v>
      </c>
      <c r="G34">
        <v>79418</v>
      </c>
      <c r="H34">
        <v>16402.48</v>
      </c>
    </row>
    <row r="35" spans="1:8" x14ac:dyDescent="0.3">
      <c r="A35" t="s">
        <v>88</v>
      </c>
      <c r="B35" t="s">
        <v>89</v>
      </c>
      <c r="C35" t="s">
        <v>26</v>
      </c>
      <c r="D35" t="s">
        <v>16</v>
      </c>
      <c r="E35" t="s">
        <v>20</v>
      </c>
      <c r="F35">
        <v>7</v>
      </c>
      <c r="G35">
        <v>95725</v>
      </c>
      <c r="H35">
        <v>18888.05</v>
      </c>
    </row>
    <row r="36" spans="1:8" x14ac:dyDescent="0.3">
      <c r="A36" t="s">
        <v>90</v>
      </c>
      <c r="B36" t="s">
        <v>91</v>
      </c>
      <c r="C36" t="s">
        <v>52</v>
      </c>
      <c r="D36" t="s">
        <v>16</v>
      </c>
      <c r="E36" t="s">
        <v>23</v>
      </c>
      <c r="F36">
        <v>8</v>
      </c>
      <c r="G36">
        <v>188736</v>
      </c>
      <c r="H36">
        <v>27181.63</v>
      </c>
    </row>
    <row r="37" spans="1:8" x14ac:dyDescent="0.3">
      <c r="A37" t="s">
        <v>92</v>
      </c>
      <c r="B37" t="s">
        <v>93</v>
      </c>
      <c r="C37" t="s">
        <v>19</v>
      </c>
      <c r="D37" t="s">
        <v>11</v>
      </c>
      <c r="E37" t="s">
        <v>20</v>
      </c>
      <c r="F37">
        <v>2</v>
      </c>
      <c r="G37">
        <v>77684</v>
      </c>
      <c r="H37">
        <v>23427.83</v>
      </c>
    </row>
    <row r="38" spans="1:8" x14ac:dyDescent="0.3">
      <c r="A38" t="s">
        <v>94</v>
      </c>
      <c r="B38" t="s">
        <v>95</v>
      </c>
      <c r="C38" t="s">
        <v>15</v>
      </c>
      <c r="D38" t="s">
        <v>16</v>
      </c>
      <c r="E38" t="s">
        <v>34</v>
      </c>
      <c r="F38">
        <v>8</v>
      </c>
      <c r="G38">
        <v>281288</v>
      </c>
      <c r="H38">
        <v>56427.08</v>
      </c>
    </row>
    <row r="39" spans="1:8" x14ac:dyDescent="0.3">
      <c r="A39" t="s">
        <v>96</v>
      </c>
      <c r="B39" t="s">
        <v>97</v>
      </c>
      <c r="C39" t="s">
        <v>10</v>
      </c>
      <c r="D39" t="s">
        <v>11</v>
      </c>
      <c r="E39" t="s">
        <v>23</v>
      </c>
      <c r="F39">
        <v>6</v>
      </c>
      <c r="G39">
        <v>148746</v>
      </c>
      <c r="H39">
        <v>35114.21</v>
      </c>
    </row>
    <row r="40" spans="1:8" x14ac:dyDescent="0.3">
      <c r="A40" t="s">
        <v>98</v>
      </c>
      <c r="B40" t="s">
        <v>99</v>
      </c>
      <c r="C40" t="s">
        <v>26</v>
      </c>
      <c r="D40" t="s">
        <v>16</v>
      </c>
      <c r="E40" t="s">
        <v>23</v>
      </c>
      <c r="F40">
        <v>10</v>
      </c>
      <c r="G40">
        <v>321250</v>
      </c>
      <c r="H40">
        <v>100887.67</v>
      </c>
    </row>
    <row r="41" spans="1:8" x14ac:dyDescent="0.3">
      <c r="A41" t="s">
        <v>100</v>
      </c>
      <c r="B41" t="s">
        <v>33</v>
      </c>
      <c r="C41" t="s">
        <v>15</v>
      </c>
      <c r="D41" t="s">
        <v>16</v>
      </c>
      <c r="E41" t="s">
        <v>23</v>
      </c>
      <c r="F41">
        <v>7</v>
      </c>
      <c r="G41">
        <v>90503</v>
      </c>
      <c r="H41">
        <v>25310.85</v>
      </c>
    </row>
    <row r="42" spans="1:8" x14ac:dyDescent="0.3">
      <c r="A42" t="s">
        <v>101</v>
      </c>
      <c r="B42" t="s">
        <v>102</v>
      </c>
      <c r="C42" t="s">
        <v>31</v>
      </c>
      <c r="D42" t="s">
        <v>11</v>
      </c>
      <c r="E42" t="s">
        <v>20</v>
      </c>
      <c r="F42">
        <v>3</v>
      </c>
      <c r="G42">
        <v>21489</v>
      </c>
      <c r="H42">
        <v>4889.8</v>
      </c>
    </row>
    <row r="43" spans="1:8" x14ac:dyDescent="0.3">
      <c r="A43" t="s">
        <v>103</v>
      </c>
      <c r="B43" t="s">
        <v>104</v>
      </c>
      <c r="C43" t="s">
        <v>15</v>
      </c>
      <c r="D43" t="s">
        <v>16</v>
      </c>
      <c r="E43" t="s">
        <v>20</v>
      </c>
      <c r="F43">
        <v>7</v>
      </c>
      <c r="G43">
        <v>308371</v>
      </c>
      <c r="H43">
        <v>105287.74</v>
      </c>
    </row>
    <row r="44" spans="1:8" x14ac:dyDescent="0.3">
      <c r="A44" t="s">
        <v>105</v>
      </c>
      <c r="B44" t="s">
        <v>38</v>
      </c>
      <c r="C44" t="s">
        <v>26</v>
      </c>
      <c r="D44" t="s">
        <v>16</v>
      </c>
      <c r="E44" t="s">
        <v>34</v>
      </c>
      <c r="F44">
        <v>7</v>
      </c>
      <c r="G44">
        <v>234920</v>
      </c>
      <c r="H44">
        <v>66347.070000000007</v>
      </c>
    </row>
    <row r="45" spans="1:8" x14ac:dyDescent="0.3">
      <c r="A45" t="s">
        <v>106</v>
      </c>
      <c r="B45" t="s">
        <v>107</v>
      </c>
      <c r="C45" t="s">
        <v>10</v>
      </c>
      <c r="D45" t="s">
        <v>11</v>
      </c>
      <c r="E45" t="s">
        <v>34</v>
      </c>
      <c r="F45">
        <v>3</v>
      </c>
      <c r="G45">
        <v>65352</v>
      </c>
      <c r="H45">
        <v>16010.5</v>
      </c>
    </row>
    <row r="46" spans="1:8" x14ac:dyDescent="0.3">
      <c r="A46" t="s">
        <v>108</v>
      </c>
      <c r="B46" t="s">
        <v>109</v>
      </c>
      <c r="C46" t="s">
        <v>19</v>
      </c>
      <c r="D46" t="s">
        <v>11</v>
      </c>
      <c r="E46" t="s">
        <v>20</v>
      </c>
      <c r="F46">
        <v>8</v>
      </c>
      <c r="G46">
        <v>187216</v>
      </c>
      <c r="H46">
        <v>33739.43</v>
      </c>
    </row>
    <row r="47" spans="1:8" x14ac:dyDescent="0.3">
      <c r="A47" t="s">
        <v>110</v>
      </c>
      <c r="B47" t="s">
        <v>111</v>
      </c>
      <c r="C47" t="s">
        <v>52</v>
      </c>
      <c r="D47" t="s">
        <v>16</v>
      </c>
      <c r="E47" t="s">
        <v>34</v>
      </c>
      <c r="F47">
        <v>7</v>
      </c>
      <c r="G47">
        <v>227850</v>
      </c>
      <c r="H47">
        <v>25075.65</v>
      </c>
    </row>
    <row r="48" spans="1:8" x14ac:dyDescent="0.3">
      <c r="A48" t="s">
        <v>112</v>
      </c>
      <c r="B48" t="s">
        <v>70</v>
      </c>
      <c r="C48" t="s">
        <v>31</v>
      </c>
      <c r="D48" t="s">
        <v>11</v>
      </c>
      <c r="E48" t="s">
        <v>34</v>
      </c>
      <c r="F48">
        <v>1</v>
      </c>
      <c r="G48">
        <v>22335</v>
      </c>
      <c r="H48">
        <v>4037.36</v>
      </c>
    </row>
    <row r="49" spans="1:8" x14ac:dyDescent="0.3">
      <c r="A49" t="s">
        <v>113</v>
      </c>
      <c r="B49" t="s">
        <v>114</v>
      </c>
      <c r="C49" t="s">
        <v>26</v>
      </c>
      <c r="D49" t="s">
        <v>16</v>
      </c>
      <c r="E49" t="s">
        <v>20</v>
      </c>
      <c r="F49">
        <v>2</v>
      </c>
      <c r="G49">
        <v>32626</v>
      </c>
      <c r="H49">
        <v>3656.48</v>
      </c>
    </row>
    <row r="50" spans="1:8" x14ac:dyDescent="0.3">
      <c r="A50" t="s">
        <v>115</v>
      </c>
      <c r="B50" t="s">
        <v>116</v>
      </c>
      <c r="C50" t="s">
        <v>19</v>
      </c>
      <c r="D50" t="s">
        <v>11</v>
      </c>
      <c r="E50" t="s">
        <v>12</v>
      </c>
      <c r="F50">
        <v>7</v>
      </c>
      <c r="G50">
        <v>335055</v>
      </c>
      <c r="H50">
        <v>40698.559999999998</v>
      </c>
    </row>
    <row r="51" spans="1:8" x14ac:dyDescent="0.3">
      <c r="A51" t="s">
        <v>117</v>
      </c>
      <c r="B51" t="s">
        <v>118</v>
      </c>
      <c r="C51" t="s">
        <v>10</v>
      </c>
      <c r="D51" t="s">
        <v>11</v>
      </c>
      <c r="E51" t="s">
        <v>20</v>
      </c>
      <c r="F51">
        <v>8</v>
      </c>
      <c r="G51">
        <v>127456</v>
      </c>
      <c r="H51">
        <v>24763.1</v>
      </c>
    </row>
    <row r="52" spans="1:8" x14ac:dyDescent="0.3">
      <c r="A52" t="s">
        <v>119</v>
      </c>
      <c r="B52" t="s">
        <v>120</v>
      </c>
      <c r="C52" t="s">
        <v>26</v>
      </c>
      <c r="D52" t="s">
        <v>16</v>
      </c>
      <c r="E52" t="s">
        <v>23</v>
      </c>
      <c r="F52">
        <v>6</v>
      </c>
      <c r="G52">
        <v>95442</v>
      </c>
      <c r="H52">
        <v>9799.2999999999993</v>
      </c>
    </row>
    <row r="53" spans="1:8" x14ac:dyDescent="0.3">
      <c r="A53" t="s">
        <v>121</v>
      </c>
      <c r="B53" t="s">
        <v>122</v>
      </c>
      <c r="C53" t="s">
        <v>10</v>
      </c>
      <c r="D53" t="s">
        <v>11</v>
      </c>
      <c r="E53" t="s">
        <v>34</v>
      </c>
      <c r="F53">
        <v>9</v>
      </c>
      <c r="G53">
        <v>203382</v>
      </c>
      <c r="H53">
        <v>59390.8</v>
      </c>
    </row>
    <row r="54" spans="1:8" x14ac:dyDescent="0.3">
      <c r="A54" t="s">
        <v>123</v>
      </c>
      <c r="B54" t="s">
        <v>124</v>
      </c>
      <c r="C54" t="s">
        <v>52</v>
      </c>
      <c r="D54" t="s">
        <v>16</v>
      </c>
      <c r="E54" t="s">
        <v>20</v>
      </c>
      <c r="F54">
        <v>1</v>
      </c>
      <c r="G54">
        <v>16538</v>
      </c>
      <c r="H54">
        <v>4902.3500000000004</v>
      </c>
    </row>
    <row r="55" spans="1:8" x14ac:dyDescent="0.3">
      <c r="A55" t="s">
        <v>125</v>
      </c>
      <c r="B55" t="s">
        <v>126</v>
      </c>
      <c r="C55" t="s">
        <v>52</v>
      </c>
      <c r="D55" t="s">
        <v>16</v>
      </c>
      <c r="E55" t="s">
        <v>20</v>
      </c>
      <c r="F55">
        <v>3</v>
      </c>
      <c r="G55">
        <v>66900</v>
      </c>
      <c r="H55">
        <v>13178.52</v>
      </c>
    </row>
    <row r="56" spans="1:8" x14ac:dyDescent="0.3">
      <c r="A56" t="s">
        <v>127</v>
      </c>
      <c r="B56" t="s">
        <v>128</v>
      </c>
      <c r="C56" t="s">
        <v>47</v>
      </c>
      <c r="D56" t="s">
        <v>16</v>
      </c>
      <c r="E56" t="s">
        <v>12</v>
      </c>
      <c r="F56">
        <v>7</v>
      </c>
      <c r="G56">
        <v>27580</v>
      </c>
      <c r="H56">
        <v>2837.83</v>
      </c>
    </row>
    <row r="57" spans="1:8" x14ac:dyDescent="0.3">
      <c r="A57" t="s">
        <v>129</v>
      </c>
      <c r="B57" t="s">
        <v>130</v>
      </c>
      <c r="C57" t="s">
        <v>10</v>
      </c>
      <c r="D57" t="s">
        <v>11</v>
      </c>
      <c r="E57" t="s">
        <v>20</v>
      </c>
      <c r="F57">
        <v>3</v>
      </c>
      <c r="G57">
        <v>127977</v>
      </c>
      <c r="H57">
        <v>22480.39</v>
      </c>
    </row>
    <row r="58" spans="1:8" x14ac:dyDescent="0.3">
      <c r="A58" t="s">
        <v>131</v>
      </c>
      <c r="B58" t="s">
        <v>132</v>
      </c>
      <c r="C58" t="s">
        <v>52</v>
      </c>
      <c r="D58" t="s">
        <v>16</v>
      </c>
      <c r="E58" t="s">
        <v>20</v>
      </c>
      <c r="F58">
        <v>3</v>
      </c>
      <c r="G58">
        <v>36012</v>
      </c>
      <c r="H58">
        <v>3908.04</v>
      </c>
    </row>
    <row r="59" spans="1:8" x14ac:dyDescent="0.3">
      <c r="A59" t="s">
        <v>133</v>
      </c>
      <c r="B59" t="s">
        <v>83</v>
      </c>
      <c r="C59" t="s">
        <v>31</v>
      </c>
      <c r="D59" t="s">
        <v>11</v>
      </c>
      <c r="E59" t="s">
        <v>20</v>
      </c>
      <c r="F59">
        <v>4</v>
      </c>
      <c r="G59">
        <v>163036</v>
      </c>
      <c r="H59">
        <v>40082.449999999997</v>
      </c>
    </row>
    <row r="60" spans="1:8" x14ac:dyDescent="0.3">
      <c r="A60" t="s">
        <v>134</v>
      </c>
      <c r="B60" t="s">
        <v>81</v>
      </c>
      <c r="C60" t="s">
        <v>15</v>
      </c>
      <c r="D60" t="s">
        <v>16</v>
      </c>
      <c r="E60" t="s">
        <v>20</v>
      </c>
      <c r="F60">
        <v>2</v>
      </c>
      <c r="G60">
        <v>4852</v>
      </c>
      <c r="H60">
        <v>1535.72</v>
      </c>
    </row>
    <row r="61" spans="1:8" x14ac:dyDescent="0.3">
      <c r="A61" t="s">
        <v>135</v>
      </c>
      <c r="B61" t="s">
        <v>136</v>
      </c>
      <c r="C61" t="s">
        <v>52</v>
      </c>
      <c r="D61" t="s">
        <v>16</v>
      </c>
      <c r="E61" t="s">
        <v>12</v>
      </c>
      <c r="F61">
        <v>5</v>
      </c>
      <c r="G61">
        <v>67715</v>
      </c>
      <c r="H61">
        <v>15567.26</v>
      </c>
    </row>
    <row r="62" spans="1:8" x14ac:dyDescent="0.3">
      <c r="A62" t="s">
        <v>137</v>
      </c>
      <c r="B62" t="s">
        <v>138</v>
      </c>
      <c r="C62" t="s">
        <v>19</v>
      </c>
      <c r="D62" t="s">
        <v>11</v>
      </c>
      <c r="E62" t="s">
        <v>20</v>
      </c>
      <c r="F62">
        <v>4</v>
      </c>
      <c r="G62">
        <v>18308</v>
      </c>
      <c r="H62">
        <v>4054.16</v>
      </c>
    </row>
    <row r="63" spans="1:8" x14ac:dyDescent="0.3">
      <c r="A63" t="s">
        <v>139</v>
      </c>
      <c r="B63" t="s">
        <v>140</v>
      </c>
      <c r="C63" t="s">
        <v>19</v>
      </c>
      <c r="D63" t="s">
        <v>11</v>
      </c>
      <c r="E63" t="s">
        <v>20</v>
      </c>
      <c r="F63">
        <v>1</v>
      </c>
      <c r="G63">
        <v>37429</v>
      </c>
      <c r="H63">
        <v>11632.65</v>
      </c>
    </row>
    <row r="64" spans="1:8" x14ac:dyDescent="0.3">
      <c r="A64" t="s">
        <v>141</v>
      </c>
      <c r="B64" t="s">
        <v>142</v>
      </c>
      <c r="C64" t="s">
        <v>19</v>
      </c>
      <c r="D64" t="s">
        <v>11</v>
      </c>
      <c r="E64" t="s">
        <v>23</v>
      </c>
      <c r="F64">
        <v>10</v>
      </c>
      <c r="G64">
        <v>238250</v>
      </c>
      <c r="H64">
        <v>76191.240000000005</v>
      </c>
    </row>
    <row r="65" spans="1:8" x14ac:dyDescent="0.3">
      <c r="A65" t="s">
        <v>143</v>
      </c>
      <c r="B65" t="s">
        <v>68</v>
      </c>
      <c r="C65" t="s">
        <v>52</v>
      </c>
      <c r="D65" t="s">
        <v>16</v>
      </c>
      <c r="E65" t="s">
        <v>23</v>
      </c>
      <c r="F65">
        <v>2</v>
      </c>
      <c r="G65">
        <v>22188</v>
      </c>
      <c r="H65">
        <v>4066.7</v>
      </c>
    </row>
    <row r="66" spans="1:8" x14ac:dyDescent="0.3">
      <c r="A66" t="s">
        <v>144</v>
      </c>
      <c r="B66" t="s">
        <v>145</v>
      </c>
      <c r="C66" t="s">
        <v>41</v>
      </c>
      <c r="D66" t="s">
        <v>42</v>
      </c>
      <c r="E66" t="s">
        <v>20</v>
      </c>
      <c r="F66">
        <v>1</v>
      </c>
      <c r="G66">
        <v>18123</v>
      </c>
      <c r="H66">
        <v>5941.84</v>
      </c>
    </row>
    <row r="67" spans="1:8" x14ac:dyDescent="0.3">
      <c r="A67" t="s">
        <v>146</v>
      </c>
      <c r="B67" t="s">
        <v>140</v>
      </c>
      <c r="C67" t="s">
        <v>26</v>
      </c>
      <c r="D67" t="s">
        <v>16</v>
      </c>
      <c r="E67" t="s">
        <v>20</v>
      </c>
      <c r="F67">
        <v>9</v>
      </c>
      <c r="G67">
        <v>403353</v>
      </c>
      <c r="H67">
        <v>100482.11</v>
      </c>
    </row>
    <row r="68" spans="1:8" x14ac:dyDescent="0.3">
      <c r="A68" t="s">
        <v>147</v>
      </c>
      <c r="B68" t="s">
        <v>148</v>
      </c>
      <c r="C68" t="s">
        <v>15</v>
      </c>
      <c r="D68" t="s">
        <v>16</v>
      </c>
      <c r="E68" t="s">
        <v>23</v>
      </c>
      <c r="F68">
        <v>8</v>
      </c>
      <c r="G68">
        <v>317264</v>
      </c>
      <c r="H68">
        <v>92123.54</v>
      </c>
    </row>
    <row r="69" spans="1:8" x14ac:dyDescent="0.3">
      <c r="A69" t="s">
        <v>149</v>
      </c>
      <c r="B69" t="s">
        <v>76</v>
      </c>
      <c r="C69" t="s">
        <v>52</v>
      </c>
      <c r="D69" t="s">
        <v>16</v>
      </c>
      <c r="E69" t="s">
        <v>20</v>
      </c>
      <c r="F69">
        <v>8</v>
      </c>
      <c r="G69">
        <v>70912</v>
      </c>
      <c r="H69">
        <v>14819.14</v>
      </c>
    </row>
    <row r="70" spans="1:8" x14ac:dyDescent="0.3">
      <c r="A70" t="s">
        <v>150</v>
      </c>
      <c r="B70" t="s">
        <v>151</v>
      </c>
      <c r="C70" t="s">
        <v>15</v>
      </c>
      <c r="D70" t="s">
        <v>16</v>
      </c>
      <c r="E70" t="s">
        <v>12</v>
      </c>
      <c r="F70">
        <v>8</v>
      </c>
      <c r="G70">
        <v>74376</v>
      </c>
      <c r="H70">
        <v>18394.54</v>
      </c>
    </row>
    <row r="71" spans="1:8" x14ac:dyDescent="0.3">
      <c r="A71" t="s">
        <v>152</v>
      </c>
      <c r="B71" t="s">
        <v>85</v>
      </c>
      <c r="C71" t="s">
        <v>41</v>
      </c>
      <c r="D71" t="s">
        <v>42</v>
      </c>
      <c r="E71" t="s">
        <v>23</v>
      </c>
      <c r="F71">
        <v>7</v>
      </c>
      <c r="G71">
        <v>296625</v>
      </c>
      <c r="H71">
        <v>87234.91</v>
      </c>
    </row>
    <row r="72" spans="1:8" x14ac:dyDescent="0.3">
      <c r="A72" t="s">
        <v>153</v>
      </c>
      <c r="B72" t="s">
        <v>154</v>
      </c>
      <c r="C72" t="s">
        <v>41</v>
      </c>
      <c r="D72" t="s">
        <v>42</v>
      </c>
      <c r="E72" t="s">
        <v>23</v>
      </c>
      <c r="F72">
        <v>9</v>
      </c>
      <c r="G72">
        <v>155097</v>
      </c>
      <c r="H72">
        <v>51981.35</v>
      </c>
    </row>
    <row r="73" spans="1:8" x14ac:dyDescent="0.3">
      <c r="A73" t="s">
        <v>155</v>
      </c>
      <c r="B73" t="s">
        <v>156</v>
      </c>
      <c r="C73" t="s">
        <v>52</v>
      </c>
      <c r="D73" t="s">
        <v>16</v>
      </c>
      <c r="E73" t="s">
        <v>23</v>
      </c>
      <c r="F73">
        <v>4</v>
      </c>
      <c r="G73">
        <v>137128</v>
      </c>
      <c r="H73">
        <v>46251.14</v>
      </c>
    </row>
    <row r="74" spans="1:8" x14ac:dyDescent="0.3">
      <c r="A74" t="s">
        <v>157</v>
      </c>
      <c r="B74" t="s">
        <v>158</v>
      </c>
      <c r="C74" t="s">
        <v>26</v>
      </c>
      <c r="D74" t="s">
        <v>16</v>
      </c>
      <c r="E74" t="s">
        <v>23</v>
      </c>
      <c r="F74">
        <v>6</v>
      </c>
      <c r="G74">
        <v>9324</v>
      </c>
      <c r="H74">
        <v>1124.33</v>
      </c>
    </row>
    <row r="75" spans="1:8" x14ac:dyDescent="0.3">
      <c r="A75" t="s">
        <v>159</v>
      </c>
      <c r="B75" t="s">
        <v>160</v>
      </c>
      <c r="C75" t="s">
        <v>31</v>
      </c>
      <c r="D75" t="s">
        <v>11</v>
      </c>
      <c r="E75" t="s">
        <v>12</v>
      </c>
      <c r="F75">
        <v>8</v>
      </c>
      <c r="G75">
        <v>210456</v>
      </c>
      <c r="H75">
        <v>32129.17</v>
      </c>
    </row>
    <row r="76" spans="1:8" x14ac:dyDescent="0.3">
      <c r="A76" t="s">
        <v>161</v>
      </c>
      <c r="B76" t="s">
        <v>162</v>
      </c>
      <c r="C76" t="s">
        <v>10</v>
      </c>
      <c r="D76" t="s">
        <v>11</v>
      </c>
      <c r="E76" t="s">
        <v>12</v>
      </c>
      <c r="F76">
        <v>3</v>
      </c>
      <c r="G76">
        <v>103041</v>
      </c>
      <c r="H76">
        <v>17154.23</v>
      </c>
    </row>
    <row r="77" spans="1:8" x14ac:dyDescent="0.3">
      <c r="A77" t="s">
        <v>163</v>
      </c>
      <c r="B77" t="s">
        <v>164</v>
      </c>
      <c r="C77" t="s">
        <v>26</v>
      </c>
      <c r="D77" t="s">
        <v>16</v>
      </c>
      <c r="E77" t="s">
        <v>12</v>
      </c>
      <c r="F77">
        <v>4</v>
      </c>
      <c r="G77">
        <v>153020</v>
      </c>
      <c r="H77">
        <v>27300.59</v>
      </c>
    </row>
    <row r="78" spans="1:8" x14ac:dyDescent="0.3">
      <c r="A78" t="s">
        <v>165</v>
      </c>
      <c r="B78" t="s">
        <v>166</v>
      </c>
      <c r="C78" t="s">
        <v>47</v>
      </c>
      <c r="D78" t="s">
        <v>16</v>
      </c>
      <c r="E78" t="s">
        <v>20</v>
      </c>
      <c r="F78">
        <v>9</v>
      </c>
      <c r="G78">
        <v>382158</v>
      </c>
      <c r="H78">
        <v>129859.42</v>
      </c>
    </row>
    <row r="79" spans="1:8" x14ac:dyDescent="0.3">
      <c r="A79" t="s">
        <v>167</v>
      </c>
      <c r="B79" t="s">
        <v>168</v>
      </c>
      <c r="C79" t="s">
        <v>47</v>
      </c>
      <c r="D79" t="s">
        <v>16</v>
      </c>
      <c r="E79" t="s">
        <v>23</v>
      </c>
      <c r="F79">
        <v>10</v>
      </c>
      <c r="G79">
        <v>410280</v>
      </c>
      <c r="H79">
        <v>134218.01</v>
      </c>
    </row>
    <row r="80" spans="1:8" x14ac:dyDescent="0.3">
      <c r="A80" t="s">
        <v>169</v>
      </c>
      <c r="B80" t="s">
        <v>170</v>
      </c>
      <c r="C80" t="s">
        <v>41</v>
      </c>
      <c r="D80" t="s">
        <v>42</v>
      </c>
      <c r="E80" t="s">
        <v>23</v>
      </c>
      <c r="F80">
        <v>1</v>
      </c>
      <c r="G80">
        <v>17201</v>
      </c>
      <c r="H80">
        <v>2022.07</v>
      </c>
    </row>
    <row r="81" spans="1:8" x14ac:dyDescent="0.3">
      <c r="A81" t="s">
        <v>171</v>
      </c>
      <c r="B81" t="s">
        <v>172</v>
      </c>
      <c r="C81" t="s">
        <v>41</v>
      </c>
      <c r="D81" t="s">
        <v>42</v>
      </c>
      <c r="E81" t="s">
        <v>20</v>
      </c>
      <c r="F81">
        <v>2</v>
      </c>
      <c r="G81">
        <v>76732</v>
      </c>
      <c r="H81">
        <v>22597.49</v>
      </c>
    </row>
    <row r="82" spans="1:8" x14ac:dyDescent="0.3">
      <c r="A82" t="s">
        <v>173</v>
      </c>
      <c r="B82" t="s">
        <v>174</v>
      </c>
      <c r="C82" t="s">
        <v>10</v>
      </c>
      <c r="D82" t="s">
        <v>11</v>
      </c>
      <c r="E82" t="s">
        <v>12</v>
      </c>
      <c r="F82">
        <v>5</v>
      </c>
      <c r="G82">
        <v>210695</v>
      </c>
      <c r="H82">
        <v>35676.18</v>
      </c>
    </row>
    <row r="83" spans="1:8" x14ac:dyDescent="0.3">
      <c r="A83" t="s">
        <v>175</v>
      </c>
      <c r="B83" t="s">
        <v>176</v>
      </c>
      <c r="C83" t="s">
        <v>10</v>
      </c>
      <c r="D83" t="s">
        <v>11</v>
      </c>
      <c r="E83" t="s">
        <v>23</v>
      </c>
      <c r="F83">
        <v>6</v>
      </c>
      <c r="G83">
        <v>187056</v>
      </c>
      <c r="H83">
        <v>62017.62</v>
      </c>
    </row>
    <row r="84" spans="1:8" x14ac:dyDescent="0.3">
      <c r="A84" t="s">
        <v>177</v>
      </c>
      <c r="B84" t="s">
        <v>151</v>
      </c>
      <c r="C84" t="s">
        <v>26</v>
      </c>
      <c r="D84" t="s">
        <v>16</v>
      </c>
      <c r="E84" t="s">
        <v>23</v>
      </c>
      <c r="F84">
        <v>1</v>
      </c>
      <c r="G84">
        <v>48206</v>
      </c>
      <c r="H84">
        <v>11485.99</v>
      </c>
    </row>
    <row r="85" spans="1:8" x14ac:dyDescent="0.3">
      <c r="A85" t="s">
        <v>178</v>
      </c>
      <c r="B85" t="s">
        <v>179</v>
      </c>
      <c r="C85" t="s">
        <v>41</v>
      </c>
      <c r="D85" t="s">
        <v>42</v>
      </c>
      <c r="E85" t="s">
        <v>20</v>
      </c>
      <c r="F85">
        <v>7</v>
      </c>
      <c r="G85">
        <v>178094</v>
      </c>
      <c r="H85">
        <v>25732.62</v>
      </c>
    </row>
    <row r="86" spans="1:8" x14ac:dyDescent="0.3">
      <c r="A86" t="s">
        <v>180</v>
      </c>
      <c r="B86" t="s">
        <v>181</v>
      </c>
      <c r="C86" t="s">
        <v>15</v>
      </c>
      <c r="D86" t="s">
        <v>16</v>
      </c>
      <c r="E86" t="s">
        <v>34</v>
      </c>
      <c r="F86">
        <v>1</v>
      </c>
      <c r="G86">
        <v>19298</v>
      </c>
      <c r="H86">
        <v>2754.17</v>
      </c>
    </row>
    <row r="87" spans="1:8" x14ac:dyDescent="0.3">
      <c r="A87" t="s">
        <v>182</v>
      </c>
      <c r="B87" t="s">
        <v>58</v>
      </c>
      <c r="C87" t="s">
        <v>26</v>
      </c>
      <c r="D87" t="s">
        <v>16</v>
      </c>
      <c r="E87" t="s">
        <v>34</v>
      </c>
      <c r="F87">
        <v>3</v>
      </c>
      <c r="G87">
        <v>95031</v>
      </c>
      <c r="H87">
        <v>26508.22</v>
      </c>
    </row>
    <row r="88" spans="1:8" x14ac:dyDescent="0.3">
      <c r="A88" t="s">
        <v>183</v>
      </c>
      <c r="B88" t="s">
        <v>184</v>
      </c>
      <c r="C88" t="s">
        <v>10</v>
      </c>
      <c r="D88" t="s">
        <v>11</v>
      </c>
      <c r="E88" t="s">
        <v>12</v>
      </c>
      <c r="F88">
        <v>6</v>
      </c>
      <c r="G88">
        <v>66744</v>
      </c>
      <c r="H88">
        <v>17504.89</v>
      </c>
    </row>
    <row r="89" spans="1:8" x14ac:dyDescent="0.3">
      <c r="A89" t="s">
        <v>185</v>
      </c>
      <c r="B89" t="s">
        <v>186</v>
      </c>
      <c r="C89" t="s">
        <v>26</v>
      </c>
      <c r="D89" t="s">
        <v>16</v>
      </c>
      <c r="E89" t="s">
        <v>34</v>
      </c>
      <c r="F89">
        <v>6</v>
      </c>
      <c r="G89">
        <v>8970</v>
      </c>
      <c r="H89">
        <v>2423.46</v>
      </c>
    </row>
    <row r="90" spans="1:8" x14ac:dyDescent="0.3">
      <c r="A90" t="s">
        <v>187</v>
      </c>
      <c r="B90" t="s">
        <v>132</v>
      </c>
      <c r="C90" t="s">
        <v>31</v>
      </c>
      <c r="D90" t="s">
        <v>11</v>
      </c>
      <c r="E90" t="s">
        <v>34</v>
      </c>
      <c r="F90">
        <v>5</v>
      </c>
      <c r="G90">
        <v>214940</v>
      </c>
      <c r="H90">
        <v>74099.62</v>
      </c>
    </row>
    <row r="91" spans="1:8" x14ac:dyDescent="0.3">
      <c r="A91" t="s">
        <v>188</v>
      </c>
      <c r="B91" t="s">
        <v>189</v>
      </c>
      <c r="C91" t="s">
        <v>41</v>
      </c>
      <c r="D91" t="s">
        <v>42</v>
      </c>
      <c r="E91" t="s">
        <v>12</v>
      </c>
      <c r="F91">
        <v>10</v>
      </c>
      <c r="G91">
        <v>388660</v>
      </c>
      <c r="H91">
        <v>105668.31</v>
      </c>
    </row>
    <row r="92" spans="1:8" x14ac:dyDescent="0.3">
      <c r="A92" t="s">
        <v>190</v>
      </c>
      <c r="B92" t="s">
        <v>191</v>
      </c>
      <c r="C92" t="s">
        <v>10</v>
      </c>
      <c r="D92" t="s">
        <v>11</v>
      </c>
      <c r="E92" t="s">
        <v>12</v>
      </c>
      <c r="F92">
        <v>1</v>
      </c>
      <c r="G92">
        <v>30872</v>
      </c>
      <c r="H92">
        <v>4897.66</v>
      </c>
    </row>
    <row r="93" spans="1:8" x14ac:dyDescent="0.3">
      <c r="A93" t="s">
        <v>192</v>
      </c>
      <c r="B93" t="s">
        <v>193</v>
      </c>
      <c r="C93" t="s">
        <v>19</v>
      </c>
      <c r="D93" t="s">
        <v>11</v>
      </c>
      <c r="E93" t="s">
        <v>34</v>
      </c>
      <c r="F93">
        <v>6</v>
      </c>
      <c r="G93">
        <v>143058</v>
      </c>
      <c r="H93">
        <v>18175.07</v>
      </c>
    </row>
    <row r="94" spans="1:8" x14ac:dyDescent="0.3">
      <c r="A94" t="s">
        <v>194</v>
      </c>
      <c r="B94" t="s">
        <v>195</v>
      </c>
      <c r="C94" t="s">
        <v>41</v>
      </c>
      <c r="D94" t="s">
        <v>42</v>
      </c>
      <c r="E94" t="s">
        <v>20</v>
      </c>
      <c r="F94">
        <v>6</v>
      </c>
      <c r="G94">
        <v>31026</v>
      </c>
      <c r="H94">
        <v>8759.64</v>
      </c>
    </row>
    <row r="95" spans="1:8" x14ac:dyDescent="0.3">
      <c r="A95" t="s">
        <v>196</v>
      </c>
      <c r="B95" t="s">
        <v>197</v>
      </c>
      <c r="C95" t="s">
        <v>15</v>
      </c>
      <c r="D95" t="s">
        <v>16</v>
      </c>
      <c r="E95" t="s">
        <v>12</v>
      </c>
      <c r="F95">
        <v>5</v>
      </c>
      <c r="G95">
        <v>44505</v>
      </c>
      <c r="H95">
        <v>7852.98</v>
      </c>
    </row>
    <row r="96" spans="1:8" x14ac:dyDescent="0.3">
      <c r="A96" t="s">
        <v>198</v>
      </c>
      <c r="B96" t="s">
        <v>199</v>
      </c>
      <c r="C96" t="s">
        <v>26</v>
      </c>
      <c r="D96" t="s">
        <v>16</v>
      </c>
      <c r="E96" t="s">
        <v>23</v>
      </c>
      <c r="F96">
        <v>8</v>
      </c>
      <c r="G96">
        <v>152536</v>
      </c>
      <c r="H96">
        <v>34581.74</v>
      </c>
    </row>
    <row r="97" spans="1:8" x14ac:dyDescent="0.3">
      <c r="A97" t="s">
        <v>200</v>
      </c>
      <c r="B97" t="s">
        <v>201</v>
      </c>
      <c r="C97" t="s">
        <v>15</v>
      </c>
      <c r="D97" t="s">
        <v>16</v>
      </c>
      <c r="E97" t="s">
        <v>23</v>
      </c>
      <c r="F97">
        <v>3</v>
      </c>
      <c r="G97">
        <v>39732</v>
      </c>
      <c r="H97">
        <v>10848.78</v>
      </c>
    </row>
    <row r="98" spans="1:8" x14ac:dyDescent="0.3">
      <c r="A98" t="s">
        <v>202</v>
      </c>
      <c r="B98" t="s">
        <v>203</v>
      </c>
      <c r="C98" t="s">
        <v>19</v>
      </c>
      <c r="D98" t="s">
        <v>11</v>
      </c>
      <c r="E98" t="s">
        <v>34</v>
      </c>
      <c r="F98">
        <v>7</v>
      </c>
      <c r="G98">
        <v>229810</v>
      </c>
      <c r="H98">
        <v>74200.17</v>
      </c>
    </row>
    <row r="99" spans="1:8" x14ac:dyDescent="0.3">
      <c r="A99" t="s">
        <v>204</v>
      </c>
      <c r="B99" t="s">
        <v>76</v>
      </c>
      <c r="C99" t="s">
        <v>41</v>
      </c>
      <c r="D99" t="s">
        <v>42</v>
      </c>
      <c r="E99" t="s">
        <v>23</v>
      </c>
      <c r="F99">
        <v>1</v>
      </c>
      <c r="G99">
        <v>12091</v>
      </c>
      <c r="H99">
        <v>4037.07</v>
      </c>
    </row>
    <row r="100" spans="1:8" x14ac:dyDescent="0.3">
      <c r="A100" t="s">
        <v>205</v>
      </c>
      <c r="B100" t="s">
        <v>206</v>
      </c>
      <c r="C100" t="s">
        <v>19</v>
      </c>
      <c r="D100" t="s">
        <v>11</v>
      </c>
      <c r="E100" t="s">
        <v>34</v>
      </c>
      <c r="F100">
        <v>10</v>
      </c>
      <c r="G100">
        <v>273350</v>
      </c>
      <c r="H100">
        <v>58075.22</v>
      </c>
    </row>
    <row r="101" spans="1:8" x14ac:dyDescent="0.3">
      <c r="A101" t="s">
        <v>207</v>
      </c>
      <c r="B101" t="s">
        <v>208</v>
      </c>
      <c r="C101" t="s">
        <v>26</v>
      </c>
      <c r="D101" t="s">
        <v>16</v>
      </c>
      <c r="E101" t="s">
        <v>23</v>
      </c>
      <c r="F101">
        <v>7</v>
      </c>
      <c r="G101">
        <v>237699</v>
      </c>
      <c r="H101">
        <v>67370.05</v>
      </c>
    </row>
    <row r="102" spans="1:8" x14ac:dyDescent="0.3">
      <c r="A102" t="s">
        <v>209</v>
      </c>
      <c r="B102" t="s">
        <v>210</v>
      </c>
      <c r="C102" t="s">
        <v>26</v>
      </c>
      <c r="D102" t="s">
        <v>16</v>
      </c>
      <c r="E102" t="s">
        <v>12</v>
      </c>
      <c r="F102">
        <v>5</v>
      </c>
      <c r="G102">
        <v>109215</v>
      </c>
      <c r="H102">
        <v>19895.89</v>
      </c>
    </row>
    <row r="103" spans="1:8" x14ac:dyDescent="0.3">
      <c r="A103" t="s">
        <v>211</v>
      </c>
      <c r="B103" t="s">
        <v>212</v>
      </c>
      <c r="C103" t="s">
        <v>47</v>
      </c>
      <c r="D103" t="s">
        <v>16</v>
      </c>
      <c r="E103" t="s">
        <v>12</v>
      </c>
      <c r="F103">
        <v>4</v>
      </c>
      <c r="G103">
        <v>121544</v>
      </c>
      <c r="H103">
        <v>23615.84</v>
      </c>
    </row>
    <row r="104" spans="1:8" x14ac:dyDescent="0.3">
      <c r="A104" t="s">
        <v>213</v>
      </c>
      <c r="B104" t="s">
        <v>214</v>
      </c>
      <c r="C104" t="s">
        <v>47</v>
      </c>
      <c r="D104" t="s">
        <v>16</v>
      </c>
      <c r="E104" t="s">
        <v>34</v>
      </c>
      <c r="F104">
        <v>2</v>
      </c>
      <c r="G104">
        <v>90340</v>
      </c>
      <c r="H104">
        <v>27752</v>
      </c>
    </row>
    <row r="105" spans="1:8" x14ac:dyDescent="0.3">
      <c r="A105" t="s">
        <v>215</v>
      </c>
      <c r="B105" t="s">
        <v>216</v>
      </c>
      <c r="C105" t="s">
        <v>31</v>
      </c>
      <c r="D105" t="s">
        <v>11</v>
      </c>
      <c r="E105" t="s">
        <v>20</v>
      </c>
      <c r="F105">
        <v>7</v>
      </c>
      <c r="G105">
        <v>217602</v>
      </c>
      <c r="H105">
        <v>28278.66</v>
      </c>
    </row>
    <row r="106" spans="1:8" x14ac:dyDescent="0.3">
      <c r="A106" t="s">
        <v>217</v>
      </c>
      <c r="B106" t="s">
        <v>126</v>
      </c>
      <c r="C106" t="s">
        <v>31</v>
      </c>
      <c r="D106" t="s">
        <v>11</v>
      </c>
      <c r="E106" t="s">
        <v>12</v>
      </c>
      <c r="F106">
        <v>7</v>
      </c>
      <c r="G106">
        <v>42063</v>
      </c>
      <c r="H106">
        <v>5489.28</v>
      </c>
    </row>
    <row r="107" spans="1:8" x14ac:dyDescent="0.3">
      <c r="A107" t="s">
        <v>218</v>
      </c>
      <c r="B107" t="s">
        <v>219</v>
      </c>
      <c r="C107" t="s">
        <v>31</v>
      </c>
      <c r="D107" t="s">
        <v>11</v>
      </c>
      <c r="E107" t="s">
        <v>23</v>
      </c>
      <c r="F107">
        <v>9</v>
      </c>
      <c r="G107">
        <v>104976</v>
      </c>
      <c r="H107">
        <v>22450.84</v>
      </c>
    </row>
    <row r="108" spans="1:8" x14ac:dyDescent="0.3">
      <c r="A108" t="s">
        <v>220</v>
      </c>
      <c r="B108" t="s">
        <v>221</v>
      </c>
      <c r="C108" t="s">
        <v>19</v>
      </c>
      <c r="D108" t="s">
        <v>11</v>
      </c>
      <c r="E108" t="s">
        <v>20</v>
      </c>
      <c r="F108">
        <v>10</v>
      </c>
      <c r="G108">
        <v>294190</v>
      </c>
      <c r="H108">
        <v>93386.57</v>
      </c>
    </row>
    <row r="109" spans="1:8" x14ac:dyDescent="0.3">
      <c r="A109" t="s">
        <v>222</v>
      </c>
      <c r="B109" t="s">
        <v>223</v>
      </c>
      <c r="C109" t="s">
        <v>47</v>
      </c>
      <c r="D109" t="s">
        <v>16</v>
      </c>
      <c r="E109" t="s">
        <v>34</v>
      </c>
      <c r="F109">
        <v>5</v>
      </c>
      <c r="G109">
        <v>95905</v>
      </c>
      <c r="H109">
        <v>30047.33</v>
      </c>
    </row>
    <row r="110" spans="1:8" x14ac:dyDescent="0.3">
      <c r="A110" t="s">
        <v>224</v>
      </c>
      <c r="B110" t="s">
        <v>225</v>
      </c>
      <c r="C110" t="s">
        <v>31</v>
      </c>
      <c r="D110" t="s">
        <v>11</v>
      </c>
      <c r="E110" t="s">
        <v>20</v>
      </c>
      <c r="F110">
        <v>4</v>
      </c>
      <c r="G110">
        <v>142400</v>
      </c>
      <c r="H110">
        <v>22524.3</v>
      </c>
    </row>
    <row r="111" spans="1:8" x14ac:dyDescent="0.3">
      <c r="A111" t="s">
        <v>226</v>
      </c>
      <c r="B111" t="s">
        <v>227</v>
      </c>
      <c r="C111" t="s">
        <v>26</v>
      </c>
      <c r="D111" t="s">
        <v>16</v>
      </c>
      <c r="E111" t="s">
        <v>34</v>
      </c>
      <c r="F111">
        <v>3</v>
      </c>
      <c r="G111">
        <v>115611</v>
      </c>
      <c r="H111">
        <v>36767.410000000003</v>
      </c>
    </row>
    <row r="112" spans="1:8" x14ac:dyDescent="0.3">
      <c r="A112" t="s">
        <v>228</v>
      </c>
      <c r="B112" t="s">
        <v>229</v>
      </c>
      <c r="C112" t="s">
        <v>10</v>
      </c>
      <c r="D112" t="s">
        <v>11</v>
      </c>
      <c r="E112" t="s">
        <v>34</v>
      </c>
      <c r="F112">
        <v>6</v>
      </c>
      <c r="G112">
        <v>126936</v>
      </c>
      <c r="H112">
        <v>24657.88</v>
      </c>
    </row>
    <row r="113" spans="1:8" x14ac:dyDescent="0.3">
      <c r="A113" t="s">
        <v>230</v>
      </c>
      <c r="B113" t="s">
        <v>184</v>
      </c>
      <c r="C113" t="s">
        <v>26</v>
      </c>
      <c r="D113" t="s">
        <v>16</v>
      </c>
      <c r="E113" t="s">
        <v>34</v>
      </c>
      <c r="F113">
        <v>1</v>
      </c>
      <c r="G113">
        <v>28135</v>
      </c>
      <c r="H113">
        <v>5751.94</v>
      </c>
    </row>
    <row r="114" spans="1:8" x14ac:dyDescent="0.3">
      <c r="A114" t="s">
        <v>231</v>
      </c>
      <c r="B114" t="s">
        <v>232</v>
      </c>
      <c r="C114" t="s">
        <v>41</v>
      </c>
      <c r="D114" t="s">
        <v>42</v>
      </c>
      <c r="E114" t="s">
        <v>12</v>
      </c>
      <c r="F114">
        <v>1</v>
      </c>
      <c r="G114">
        <v>46282</v>
      </c>
      <c r="H114">
        <v>8047.78</v>
      </c>
    </row>
    <row r="115" spans="1:8" x14ac:dyDescent="0.3">
      <c r="A115" t="s">
        <v>233</v>
      </c>
      <c r="B115" t="s">
        <v>9</v>
      </c>
      <c r="C115" t="s">
        <v>19</v>
      </c>
      <c r="D115" t="s">
        <v>11</v>
      </c>
      <c r="E115" t="s">
        <v>20</v>
      </c>
      <c r="F115">
        <v>6</v>
      </c>
      <c r="G115">
        <v>31872</v>
      </c>
      <c r="H115">
        <v>10033.5</v>
      </c>
    </row>
    <row r="116" spans="1:8" x14ac:dyDescent="0.3">
      <c r="A116" t="s">
        <v>234</v>
      </c>
      <c r="B116" t="s">
        <v>212</v>
      </c>
      <c r="C116" t="s">
        <v>26</v>
      </c>
      <c r="D116" t="s">
        <v>16</v>
      </c>
      <c r="E116" t="s">
        <v>12</v>
      </c>
      <c r="F116">
        <v>6</v>
      </c>
      <c r="G116">
        <v>96972</v>
      </c>
      <c r="H116">
        <v>11146.02</v>
      </c>
    </row>
    <row r="117" spans="1:8" x14ac:dyDescent="0.3">
      <c r="A117" t="s">
        <v>235</v>
      </c>
      <c r="B117" t="s">
        <v>176</v>
      </c>
      <c r="C117" t="s">
        <v>31</v>
      </c>
      <c r="D117" t="s">
        <v>11</v>
      </c>
      <c r="E117" t="s">
        <v>23</v>
      </c>
      <c r="F117">
        <v>3</v>
      </c>
      <c r="G117">
        <v>101943</v>
      </c>
      <c r="H117">
        <v>11548.94</v>
      </c>
    </row>
    <row r="118" spans="1:8" x14ac:dyDescent="0.3">
      <c r="A118" t="s">
        <v>236</v>
      </c>
      <c r="B118" t="s">
        <v>237</v>
      </c>
      <c r="C118" t="s">
        <v>31</v>
      </c>
      <c r="D118" t="s">
        <v>11</v>
      </c>
      <c r="E118" t="s">
        <v>34</v>
      </c>
      <c r="F118">
        <v>3</v>
      </c>
      <c r="G118">
        <v>144219</v>
      </c>
      <c r="H118">
        <v>49385.52</v>
      </c>
    </row>
    <row r="119" spans="1:8" x14ac:dyDescent="0.3">
      <c r="A119" t="s">
        <v>238</v>
      </c>
      <c r="B119" t="s">
        <v>239</v>
      </c>
      <c r="C119" t="s">
        <v>10</v>
      </c>
      <c r="D119" t="s">
        <v>11</v>
      </c>
      <c r="E119" t="s">
        <v>34</v>
      </c>
      <c r="F119">
        <v>2</v>
      </c>
      <c r="G119">
        <v>16710</v>
      </c>
      <c r="H119">
        <v>4123.43</v>
      </c>
    </row>
    <row r="120" spans="1:8" x14ac:dyDescent="0.3">
      <c r="A120" t="s">
        <v>240</v>
      </c>
      <c r="B120" t="s">
        <v>241</v>
      </c>
      <c r="C120" t="s">
        <v>19</v>
      </c>
      <c r="D120" t="s">
        <v>11</v>
      </c>
      <c r="E120" t="s">
        <v>12</v>
      </c>
      <c r="F120">
        <v>7</v>
      </c>
      <c r="G120">
        <v>35427</v>
      </c>
      <c r="H120">
        <v>5383.79</v>
      </c>
    </row>
    <row r="121" spans="1:8" x14ac:dyDescent="0.3">
      <c r="A121" t="s">
        <v>242</v>
      </c>
      <c r="B121" t="s">
        <v>243</v>
      </c>
      <c r="C121" t="s">
        <v>19</v>
      </c>
      <c r="D121" t="s">
        <v>11</v>
      </c>
      <c r="E121" t="s">
        <v>23</v>
      </c>
      <c r="F121">
        <v>1</v>
      </c>
      <c r="G121">
        <v>29643</v>
      </c>
      <c r="H121">
        <v>3238.58</v>
      </c>
    </row>
    <row r="122" spans="1:8" x14ac:dyDescent="0.3">
      <c r="A122" t="s">
        <v>244</v>
      </c>
      <c r="B122" t="s">
        <v>245</v>
      </c>
      <c r="C122" t="s">
        <v>31</v>
      </c>
      <c r="D122" t="s">
        <v>11</v>
      </c>
      <c r="E122" t="s">
        <v>20</v>
      </c>
      <c r="F122">
        <v>6</v>
      </c>
      <c r="G122">
        <v>192222</v>
      </c>
      <c r="H122">
        <v>34507.050000000003</v>
      </c>
    </row>
    <row r="123" spans="1:8" x14ac:dyDescent="0.3">
      <c r="A123" t="s">
        <v>246</v>
      </c>
      <c r="B123" t="s">
        <v>247</v>
      </c>
      <c r="C123" t="s">
        <v>47</v>
      </c>
      <c r="D123" t="s">
        <v>16</v>
      </c>
      <c r="E123" t="s">
        <v>23</v>
      </c>
      <c r="F123">
        <v>6</v>
      </c>
      <c r="G123">
        <v>129456</v>
      </c>
      <c r="H123">
        <v>27422.83</v>
      </c>
    </row>
    <row r="124" spans="1:8" x14ac:dyDescent="0.3">
      <c r="A124" t="s">
        <v>248</v>
      </c>
      <c r="B124" t="s">
        <v>249</v>
      </c>
      <c r="C124" t="s">
        <v>26</v>
      </c>
      <c r="D124" t="s">
        <v>16</v>
      </c>
      <c r="E124" t="s">
        <v>12</v>
      </c>
      <c r="F124">
        <v>6</v>
      </c>
      <c r="G124">
        <v>105420</v>
      </c>
      <c r="H124">
        <v>12861.92</v>
      </c>
    </row>
    <row r="125" spans="1:8" x14ac:dyDescent="0.3">
      <c r="A125" t="s">
        <v>250</v>
      </c>
      <c r="B125" t="s">
        <v>221</v>
      </c>
      <c r="C125" t="s">
        <v>26</v>
      </c>
      <c r="D125" t="s">
        <v>16</v>
      </c>
      <c r="E125" t="s">
        <v>23</v>
      </c>
      <c r="F125">
        <v>10</v>
      </c>
      <c r="G125">
        <v>279120</v>
      </c>
      <c r="H125">
        <v>30361.8</v>
      </c>
    </row>
    <row r="126" spans="1:8" x14ac:dyDescent="0.3">
      <c r="A126" t="s">
        <v>251</v>
      </c>
      <c r="B126" t="s">
        <v>83</v>
      </c>
      <c r="C126" t="s">
        <v>19</v>
      </c>
      <c r="D126" t="s">
        <v>11</v>
      </c>
      <c r="E126" t="s">
        <v>34</v>
      </c>
      <c r="F126">
        <v>3</v>
      </c>
      <c r="G126">
        <v>71103</v>
      </c>
      <c r="H126">
        <v>8512.02</v>
      </c>
    </row>
    <row r="127" spans="1:8" x14ac:dyDescent="0.3">
      <c r="A127" t="s">
        <v>252</v>
      </c>
      <c r="B127" t="s">
        <v>253</v>
      </c>
      <c r="C127" t="s">
        <v>19</v>
      </c>
      <c r="D127" t="s">
        <v>11</v>
      </c>
      <c r="E127" t="s">
        <v>23</v>
      </c>
      <c r="F127">
        <v>9</v>
      </c>
      <c r="G127">
        <v>168327</v>
      </c>
      <c r="H127">
        <v>28122.98</v>
      </c>
    </row>
    <row r="128" spans="1:8" x14ac:dyDescent="0.3">
      <c r="A128" t="s">
        <v>254</v>
      </c>
      <c r="B128" t="s">
        <v>206</v>
      </c>
      <c r="C128" t="s">
        <v>10</v>
      </c>
      <c r="D128" t="s">
        <v>11</v>
      </c>
      <c r="E128" t="s">
        <v>23</v>
      </c>
      <c r="F128">
        <v>3</v>
      </c>
      <c r="G128">
        <v>124566</v>
      </c>
      <c r="H128">
        <v>42831.5</v>
      </c>
    </row>
    <row r="129" spans="1:8" x14ac:dyDescent="0.3">
      <c r="A129" t="s">
        <v>255</v>
      </c>
      <c r="B129" t="s">
        <v>247</v>
      </c>
      <c r="C129" t="s">
        <v>52</v>
      </c>
      <c r="D129" t="s">
        <v>16</v>
      </c>
      <c r="E129" t="s">
        <v>23</v>
      </c>
      <c r="F129">
        <v>9</v>
      </c>
      <c r="G129">
        <v>220257</v>
      </c>
      <c r="H129">
        <v>32858</v>
      </c>
    </row>
    <row r="130" spans="1:8" x14ac:dyDescent="0.3">
      <c r="A130" t="s">
        <v>256</v>
      </c>
      <c r="B130" t="s">
        <v>257</v>
      </c>
      <c r="C130" t="s">
        <v>10</v>
      </c>
      <c r="D130" t="s">
        <v>11</v>
      </c>
      <c r="E130" t="s">
        <v>23</v>
      </c>
      <c r="F130">
        <v>7</v>
      </c>
      <c r="G130">
        <v>214340</v>
      </c>
      <c r="H130">
        <v>28926.84</v>
      </c>
    </row>
    <row r="131" spans="1:8" x14ac:dyDescent="0.3">
      <c r="A131" t="s">
        <v>258</v>
      </c>
      <c r="B131" t="s">
        <v>66</v>
      </c>
      <c r="C131" t="s">
        <v>10</v>
      </c>
      <c r="D131" t="s">
        <v>11</v>
      </c>
      <c r="E131" t="s">
        <v>12</v>
      </c>
      <c r="F131">
        <v>4</v>
      </c>
      <c r="G131">
        <v>165532</v>
      </c>
      <c r="H131">
        <v>43507.71</v>
      </c>
    </row>
    <row r="132" spans="1:8" x14ac:dyDescent="0.3">
      <c r="A132" t="s">
        <v>259</v>
      </c>
      <c r="B132" t="s">
        <v>260</v>
      </c>
      <c r="C132" t="s">
        <v>15</v>
      </c>
      <c r="D132" t="s">
        <v>16</v>
      </c>
      <c r="E132" t="s">
        <v>34</v>
      </c>
      <c r="F132">
        <v>4</v>
      </c>
      <c r="G132">
        <v>158076</v>
      </c>
      <c r="H132">
        <v>23985.13</v>
      </c>
    </row>
    <row r="133" spans="1:8" x14ac:dyDescent="0.3">
      <c r="A133" t="s">
        <v>261</v>
      </c>
      <c r="B133" t="s">
        <v>262</v>
      </c>
      <c r="C133" t="s">
        <v>41</v>
      </c>
      <c r="D133" t="s">
        <v>42</v>
      </c>
      <c r="E133" t="s">
        <v>12</v>
      </c>
      <c r="F133">
        <v>4</v>
      </c>
      <c r="G133">
        <v>123824</v>
      </c>
      <c r="H133">
        <v>35192.370000000003</v>
      </c>
    </row>
    <row r="134" spans="1:8" x14ac:dyDescent="0.3">
      <c r="A134" t="s">
        <v>263</v>
      </c>
      <c r="B134" t="s">
        <v>111</v>
      </c>
      <c r="C134" t="s">
        <v>10</v>
      </c>
      <c r="D134" t="s">
        <v>11</v>
      </c>
      <c r="E134" t="s">
        <v>34</v>
      </c>
      <c r="F134">
        <v>4</v>
      </c>
      <c r="G134">
        <v>57192</v>
      </c>
      <c r="H134">
        <v>14173.79</v>
      </c>
    </row>
    <row r="135" spans="1:8" x14ac:dyDescent="0.3">
      <c r="A135" t="s">
        <v>264</v>
      </c>
      <c r="B135" t="s">
        <v>58</v>
      </c>
      <c r="C135" t="s">
        <v>52</v>
      </c>
      <c r="D135" t="s">
        <v>16</v>
      </c>
      <c r="E135" t="s">
        <v>34</v>
      </c>
      <c r="F135">
        <v>2</v>
      </c>
      <c r="G135">
        <v>98416</v>
      </c>
      <c r="H135">
        <v>17671.97</v>
      </c>
    </row>
    <row r="136" spans="1:8" x14ac:dyDescent="0.3">
      <c r="A136" t="s">
        <v>265</v>
      </c>
      <c r="B136" t="s">
        <v>266</v>
      </c>
      <c r="C136" t="s">
        <v>19</v>
      </c>
      <c r="D136" t="s">
        <v>11</v>
      </c>
      <c r="E136" t="s">
        <v>20</v>
      </c>
      <c r="F136">
        <v>10</v>
      </c>
      <c r="G136">
        <v>378990</v>
      </c>
      <c r="H136">
        <v>120839.38</v>
      </c>
    </row>
    <row r="137" spans="1:8" x14ac:dyDescent="0.3">
      <c r="A137" t="s">
        <v>267</v>
      </c>
      <c r="B137" t="s">
        <v>148</v>
      </c>
      <c r="C137" t="s">
        <v>19</v>
      </c>
      <c r="D137" t="s">
        <v>11</v>
      </c>
      <c r="E137" t="s">
        <v>20</v>
      </c>
      <c r="F137">
        <v>9</v>
      </c>
      <c r="G137">
        <v>105300</v>
      </c>
      <c r="H137">
        <v>31858.16</v>
      </c>
    </row>
    <row r="138" spans="1:8" x14ac:dyDescent="0.3">
      <c r="A138" t="s">
        <v>268</v>
      </c>
      <c r="B138" t="s">
        <v>269</v>
      </c>
      <c r="C138" t="s">
        <v>47</v>
      </c>
      <c r="D138" t="s">
        <v>16</v>
      </c>
      <c r="E138" t="s">
        <v>20</v>
      </c>
      <c r="F138">
        <v>6</v>
      </c>
      <c r="G138">
        <v>179058</v>
      </c>
      <c r="H138">
        <v>25464.59</v>
      </c>
    </row>
    <row r="139" spans="1:8" x14ac:dyDescent="0.3">
      <c r="A139" t="s">
        <v>270</v>
      </c>
      <c r="B139" t="s">
        <v>271</v>
      </c>
      <c r="C139" t="s">
        <v>19</v>
      </c>
      <c r="D139" t="s">
        <v>11</v>
      </c>
      <c r="E139" t="s">
        <v>12</v>
      </c>
      <c r="F139">
        <v>7</v>
      </c>
      <c r="G139">
        <v>24122</v>
      </c>
      <c r="H139">
        <v>7398.96</v>
      </c>
    </row>
    <row r="140" spans="1:8" x14ac:dyDescent="0.3">
      <c r="A140" t="s">
        <v>272</v>
      </c>
      <c r="B140" t="s">
        <v>232</v>
      </c>
      <c r="C140" t="s">
        <v>26</v>
      </c>
      <c r="D140" t="s">
        <v>16</v>
      </c>
      <c r="E140" t="s">
        <v>20</v>
      </c>
      <c r="F140">
        <v>3</v>
      </c>
      <c r="G140">
        <v>100434</v>
      </c>
      <c r="H140">
        <v>13274.49</v>
      </c>
    </row>
    <row r="141" spans="1:8" x14ac:dyDescent="0.3">
      <c r="A141" t="s">
        <v>273</v>
      </c>
      <c r="B141" t="s">
        <v>221</v>
      </c>
      <c r="C141" t="s">
        <v>41</v>
      </c>
      <c r="D141" t="s">
        <v>42</v>
      </c>
      <c r="E141" t="s">
        <v>20</v>
      </c>
      <c r="F141">
        <v>7</v>
      </c>
      <c r="G141">
        <v>265993</v>
      </c>
      <c r="H141">
        <v>52039.38</v>
      </c>
    </row>
    <row r="142" spans="1:8" x14ac:dyDescent="0.3">
      <c r="A142" t="s">
        <v>274</v>
      </c>
      <c r="B142" t="s">
        <v>275</v>
      </c>
      <c r="C142" t="s">
        <v>52</v>
      </c>
      <c r="D142" t="s">
        <v>16</v>
      </c>
      <c r="E142" t="s">
        <v>12</v>
      </c>
      <c r="F142">
        <v>1</v>
      </c>
      <c r="G142">
        <v>35326</v>
      </c>
      <c r="H142">
        <v>5142.96</v>
      </c>
    </row>
    <row r="143" spans="1:8" x14ac:dyDescent="0.3">
      <c r="A143" t="s">
        <v>276</v>
      </c>
      <c r="B143" t="s">
        <v>22</v>
      </c>
      <c r="C143" t="s">
        <v>47</v>
      </c>
      <c r="D143" t="s">
        <v>16</v>
      </c>
      <c r="E143" t="s">
        <v>12</v>
      </c>
      <c r="F143">
        <v>7</v>
      </c>
      <c r="G143">
        <v>291466</v>
      </c>
      <c r="H143">
        <v>51762.81</v>
      </c>
    </row>
    <row r="144" spans="1:8" x14ac:dyDescent="0.3">
      <c r="A144" t="s">
        <v>277</v>
      </c>
      <c r="B144" t="s">
        <v>278</v>
      </c>
      <c r="C144" t="s">
        <v>41</v>
      </c>
      <c r="D144" t="s">
        <v>42</v>
      </c>
      <c r="E144" t="s">
        <v>23</v>
      </c>
      <c r="F144">
        <v>7</v>
      </c>
      <c r="G144">
        <v>129948</v>
      </c>
      <c r="H144">
        <v>14079.8</v>
      </c>
    </row>
    <row r="145" spans="1:8" x14ac:dyDescent="0.3">
      <c r="A145" t="s">
        <v>279</v>
      </c>
      <c r="B145" t="s">
        <v>126</v>
      </c>
      <c r="C145" t="s">
        <v>26</v>
      </c>
      <c r="D145" t="s">
        <v>16</v>
      </c>
      <c r="E145" t="s">
        <v>12</v>
      </c>
      <c r="F145">
        <v>5</v>
      </c>
      <c r="G145">
        <v>100630</v>
      </c>
      <c r="H145">
        <v>10169.290000000001</v>
      </c>
    </row>
    <row r="146" spans="1:8" x14ac:dyDescent="0.3">
      <c r="A146" t="s">
        <v>280</v>
      </c>
      <c r="B146" t="s">
        <v>76</v>
      </c>
      <c r="C146" t="s">
        <v>10</v>
      </c>
      <c r="D146" t="s">
        <v>11</v>
      </c>
      <c r="E146" t="s">
        <v>34</v>
      </c>
      <c r="F146">
        <v>1</v>
      </c>
      <c r="G146">
        <v>49771</v>
      </c>
      <c r="H146">
        <v>10649.69</v>
      </c>
    </row>
    <row r="147" spans="1:8" x14ac:dyDescent="0.3">
      <c r="A147" t="s">
        <v>281</v>
      </c>
      <c r="B147" t="s">
        <v>282</v>
      </c>
      <c r="C147" t="s">
        <v>52</v>
      </c>
      <c r="D147" t="s">
        <v>16</v>
      </c>
      <c r="E147" t="s">
        <v>23</v>
      </c>
      <c r="F147">
        <v>5</v>
      </c>
      <c r="G147">
        <v>157265</v>
      </c>
      <c r="H147">
        <v>22346.85</v>
      </c>
    </row>
    <row r="148" spans="1:8" x14ac:dyDescent="0.3">
      <c r="A148" t="s">
        <v>283</v>
      </c>
      <c r="B148" t="s">
        <v>284</v>
      </c>
      <c r="C148" t="s">
        <v>10</v>
      </c>
      <c r="D148" t="s">
        <v>11</v>
      </c>
      <c r="E148" t="s">
        <v>34</v>
      </c>
      <c r="F148">
        <v>5</v>
      </c>
      <c r="G148">
        <v>73740</v>
      </c>
      <c r="H148">
        <v>9013.58</v>
      </c>
    </row>
    <row r="149" spans="1:8" x14ac:dyDescent="0.3">
      <c r="A149" t="s">
        <v>285</v>
      </c>
      <c r="B149" t="s">
        <v>286</v>
      </c>
      <c r="C149" t="s">
        <v>52</v>
      </c>
      <c r="D149" t="s">
        <v>16</v>
      </c>
      <c r="E149" t="s">
        <v>20</v>
      </c>
      <c r="F149">
        <v>2</v>
      </c>
      <c r="G149">
        <v>24360</v>
      </c>
      <c r="H149">
        <v>8484.16</v>
      </c>
    </row>
    <row r="150" spans="1:8" x14ac:dyDescent="0.3">
      <c r="A150" t="s">
        <v>287</v>
      </c>
      <c r="B150" t="s">
        <v>249</v>
      </c>
      <c r="C150" t="s">
        <v>10</v>
      </c>
      <c r="D150" t="s">
        <v>11</v>
      </c>
      <c r="E150" t="s">
        <v>20</v>
      </c>
      <c r="F150">
        <v>2</v>
      </c>
      <c r="G150">
        <v>91798</v>
      </c>
      <c r="H150">
        <v>23793.64</v>
      </c>
    </row>
    <row r="151" spans="1:8" x14ac:dyDescent="0.3">
      <c r="A151" t="s">
        <v>288</v>
      </c>
      <c r="B151" t="s">
        <v>289</v>
      </c>
      <c r="C151" t="s">
        <v>47</v>
      </c>
      <c r="D151" t="s">
        <v>16</v>
      </c>
      <c r="E151" t="s">
        <v>12</v>
      </c>
      <c r="F151">
        <v>5</v>
      </c>
      <c r="G151">
        <v>141165</v>
      </c>
      <c r="H151">
        <v>44749.75</v>
      </c>
    </row>
    <row r="152" spans="1:8" x14ac:dyDescent="0.3">
      <c r="A152" t="s">
        <v>290</v>
      </c>
      <c r="B152" t="s">
        <v>93</v>
      </c>
      <c r="C152" t="s">
        <v>10</v>
      </c>
      <c r="D152" t="s">
        <v>11</v>
      </c>
      <c r="E152" t="s">
        <v>34</v>
      </c>
      <c r="F152">
        <v>10</v>
      </c>
      <c r="G152">
        <v>234420</v>
      </c>
      <c r="H152">
        <v>58460.92</v>
      </c>
    </row>
    <row r="153" spans="1:8" x14ac:dyDescent="0.3">
      <c r="A153" t="s">
        <v>291</v>
      </c>
      <c r="B153" t="s">
        <v>292</v>
      </c>
      <c r="C153" t="s">
        <v>19</v>
      </c>
      <c r="D153" t="s">
        <v>11</v>
      </c>
      <c r="E153" t="s">
        <v>34</v>
      </c>
      <c r="F153">
        <v>5</v>
      </c>
      <c r="G153">
        <v>205065</v>
      </c>
      <c r="H153">
        <v>60559.72</v>
      </c>
    </row>
    <row r="154" spans="1:8" x14ac:dyDescent="0.3">
      <c r="A154" t="s">
        <v>293</v>
      </c>
      <c r="B154" t="s">
        <v>294</v>
      </c>
      <c r="C154" t="s">
        <v>52</v>
      </c>
      <c r="D154" t="s">
        <v>16</v>
      </c>
      <c r="E154" t="s">
        <v>12</v>
      </c>
      <c r="F154">
        <v>6</v>
      </c>
      <c r="G154">
        <v>259992</v>
      </c>
      <c r="H154">
        <v>36275.879999999997</v>
      </c>
    </row>
    <row r="155" spans="1:8" x14ac:dyDescent="0.3">
      <c r="A155" t="s">
        <v>295</v>
      </c>
      <c r="B155" t="s">
        <v>296</v>
      </c>
      <c r="C155" t="s">
        <v>15</v>
      </c>
      <c r="D155" t="s">
        <v>16</v>
      </c>
      <c r="E155" t="s">
        <v>20</v>
      </c>
      <c r="F155">
        <v>5</v>
      </c>
      <c r="G155">
        <v>84590</v>
      </c>
      <c r="H155">
        <v>18246.46</v>
      </c>
    </row>
    <row r="156" spans="1:8" x14ac:dyDescent="0.3">
      <c r="A156" t="s">
        <v>297</v>
      </c>
      <c r="B156" t="s">
        <v>298</v>
      </c>
      <c r="C156" t="s">
        <v>15</v>
      </c>
      <c r="D156" t="s">
        <v>16</v>
      </c>
      <c r="E156" t="s">
        <v>23</v>
      </c>
      <c r="F156">
        <v>2</v>
      </c>
      <c r="G156">
        <v>96134</v>
      </c>
      <c r="H156">
        <v>27028.52</v>
      </c>
    </row>
    <row r="157" spans="1:8" x14ac:dyDescent="0.3">
      <c r="A157" t="s">
        <v>299</v>
      </c>
      <c r="B157" t="s">
        <v>300</v>
      </c>
      <c r="C157" t="s">
        <v>26</v>
      </c>
      <c r="D157" t="s">
        <v>16</v>
      </c>
      <c r="E157" t="s">
        <v>20</v>
      </c>
      <c r="F157">
        <v>2</v>
      </c>
      <c r="G157">
        <v>3480</v>
      </c>
      <c r="H157">
        <v>591.29999999999995</v>
      </c>
    </row>
    <row r="158" spans="1:8" x14ac:dyDescent="0.3">
      <c r="A158" t="s">
        <v>301</v>
      </c>
      <c r="B158" t="s">
        <v>302</v>
      </c>
      <c r="C158" t="s">
        <v>15</v>
      </c>
      <c r="D158" t="s">
        <v>16</v>
      </c>
      <c r="E158" t="s">
        <v>12</v>
      </c>
      <c r="F158">
        <v>6</v>
      </c>
      <c r="G158">
        <v>136050</v>
      </c>
      <c r="H158">
        <v>30773.83</v>
      </c>
    </row>
    <row r="159" spans="1:8" x14ac:dyDescent="0.3">
      <c r="A159" t="s">
        <v>303</v>
      </c>
      <c r="B159" t="s">
        <v>304</v>
      </c>
      <c r="C159" t="s">
        <v>15</v>
      </c>
      <c r="D159" t="s">
        <v>16</v>
      </c>
      <c r="E159" t="s">
        <v>12</v>
      </c>
      <c r="F159">
        <v>9</v>
      </c>
      <c r="G159">
        <v>48897</v>
      </c>
      <c r="H159">
        <v>5454.83</v>
      </c>
    </row>
    <row r="160" spans="1:8" x14ac:dyDescent="0.3">
      <c r="A160" t="s">
        <v>305</v>
      </c>
      <c r="B160" t="s">
        <v>25</v>
      </c>
      <c r="C160" t="s">
        <v>19</v>
      </c>
      <c r="D160" t="s">
        <v>11</v>
      </c>
      <c r="E160" t="s">
        <v>12</v>
      </c>
      <c r="F160">
        <v>6</v>
      </c>
      <c r="G160">
        <v>103374</v>
      </c>
      <c r="H160">
        <v>27937.23</v>
      </c>
    </row>
    <row r="161" spans="1:8" x14ac:dyDescent="0.3">
      <c r="A161" t="s">
        <v>306</v>
      </c>
      <c r="B161" t="s">
        <v>307</v>
      </c>
      <c r="C161" t="s">
        <v>15</v>
      </c>
      <c r="D161" t="s">
        <v>16</v>
      </c>
      <c r="E161" t="s">
        <v>12</v>
      </c>
      <c r="F161">
        <v>3</v>
      </c>
      <c r="G161">
        <v>69759</v>
      </c>
      <c r="H161">
        <v>8813.7199999999993</v>
      </c>
    </row>
    <row r="162" spans="1:8" x14ac:dyDescent="0.3">
      <c r="A162" t="s">
        <v>308</v>
      </c>
      <c r="B162" t="s">
        <v>309</v>
      </c>
      <c r="C162" t="s">
        <v>10</v>
      </c>
      <c r="D162" t="s">
        <v>11</v>
      </c>
      <c r="E162" t="s">
        <v>23</v>
      </c>
      <c r="F162">
        <v>10</v>
      </c>
      <c r="G162">
        <v>453580</v>
      </c>
      <c r="H162">
        <v>135475.57999999999</v>
      </c>
    </row>
    <row r="163" spans="1:8" x14ac:dyDescent="0.3">
      <c r="A163" t="s">
        <v>310</v>
      </c>
      <c r="B163" t="s">
        <v>311</v>
      </c>
      <c r="C163" t="s">
        <v>41</v>
      </c>
      <c r="D163" t="s">
        <v>42</v>
      </c>
      <c r="E163" t="s">
        <v>20</v>
      </c>
      <c r="F163">
        <v>3</v>
      </c>
      <c r="G163">
        <v>134427</v>
      </c>
      <c r="H163">
        <v>30654.09</v>
      </c>
    </row>
    <row r="164" spans="1:8" x14ac:dyDescent="0.3">
      <c r="A164" t="s">
        <v>312</v>
      </c>
      <c r="B164" t="s">
        <v>313</v>
      </c>
      <c r="C164" t="s">
        <v>10</v>
      </c>
      <c r="D164" t="s">
        <v>11</v>
      </c>
      <c r="E164" t="s">
        <v>20</v>
      </c>
      <c r="F164">
        <v>2</v>
      </c>
      <c r="G164">
        <v>68752</v>
      </c>
      <c r="H164">
        <v>16777.740000000002</v>
      </c>
    </row>
    <row r="165" spans="1:8" x14ac:dyDescent="0.3">
      <c r="A165" t="s">
        <v>314</v>
      </c>
      <c r="B165" t="s">
        <v>315</v>
      </c>
      <c r="C165" t="s">
        <v>10</v>
      </c>
      <c r="D165" t="s">
        <v>11</v>
      </c>
      <c r="E165" t="s">
        <v>20</v>
      </c>
      <c r="F165">
        <v>8</v>
      </c>
      <c r="G165">
        <v>286440</v>
      </c>
      <c r="H165">
        <v>98750.58</v>
      </c>
    </row>
    <row r="166" spans="1:8" x14ac:dyDescent="0.3">
      <c r="A166" t="s">
        <v>316</v>
      </c>
      <c r="B166" t="s">
        <v>56</v>
      </c>
      <c r="C166" t="s">
        <v>15</v>
      </c>
      <c r="D166" t="s">
        <v>16</v>
      </c>
      <c r="E166" t="s">
        <v>20</v>
      </c>
      <c r="F166">
        <v>1</v>
      </c>
      <c r="G166">
        <v>17856</v>
      </c>
      <c r="H166">
        <v>1921.11</v>
      </c>
    </row>
    <row r="167" spans="1:8" x14ac:dyDescent="0.3">
      <c r="A167" t="s">
        <v>317</v>
      </c>
      <c r="B167" t="s">
        <v>307</v>
      </c>
      <c r="C167" t="s">
        <v>31</v>
      </c>
      <c r="D167" t="s">
        <v>11</v>
      </c>
      <c r="E167" t="s">
        <v>34</v>
      </c>
      <c r="F167">
        <v>5</v>
      </c>
      <c r="G167">
        <v>222135</v>
      </c>
      <c r="H167">
        <v>24203.17</v>
      </c>
    </row>
    <row r="168" spans="1:8" x14ac:dyDescent="0.3">
      <c r="A168" t="s">
        <v>318</v>
      </c>
      <c r="B168" t="s">
        <v>319</v>
      </c>
      <c r="C168" t="s">
        <v>15</v>
      </c>
      <c r="D168" t="s">
        <v>16</v>
      </c>
      <c r="E168" t="s">
        <v>34</v>
      </c>
      <c r="F168">
        <v>7</v>
      </c>
      <c r="G168">
        <v>174895</v>
      </c>
      <c r="H168">
        <v>42690.11</v>
      </c>
    </row>
    <row r="169" spans="1:8" x14ac:dyDescent="0.3">
      <c r="A169" t="s">
        <v>320</v>
      </c>
      <c r="B169" t="s">
        <v>321</v>
      </c>
      <c r="C169" t="s">
        <v>31</v>
      </c>
      <c r="D169" t="s">
        <v>11</v>
      </c>
      <c r="E169" t="s">
        <v>23</v>
      </c>
      <c r="F169">
        <v>8</v>
      </c>
      <c r="G169">
        <v>398296</v>
      </c>
      <c r="H169">
        <v>90315.05</v>
      </c>
    </row>
    <row r="170" spans="1:8" x14ac:dyDescent="0.3">
      <c r="A170" t="s">
        <v>322</v>
      </c>
      <c r="B170" t="s">
        <v>298</v>
      </c>
      <c r="C170" t="s">
        <v>31</v>
      </c>
      <c r="D170" t="s">
        <v>11</v>
      </c>
      <c r="E170" t="s">
        <v>12</v>
      </c>
      <c r="F170">
        <v>6</v>
      </c>
      <c r="G170">
        <v>296940</v>
      </c>
      <c r="H170">
        <v>38614.58</v>
      </c>
    </row>
    <row r="171" spans="1:8" x14ac:dyDescent="0.3">
      <c r="A171" t="s">
        <v>323</v>
      </c>
      <c r="B171" t="s">
        <v>184</v>
      </c>
      <c r="C171" t="s">
        <v>10</v>
      </c>
      <c r="D171" t="s">
        <v>11</v>
      </c>
      <c r="E171" t="s">
        <v>34</v>
      </c>
      <c r="F171">
        <v>3</v>
      </c>
      <c r="G171">
        <v>20460</v>
      </c>
      <c r="H171">
        <v>4898.22</v>
      </c>
    </row>
    <row r="172" spans="1:8" x14ac:dyDescent="0.3">
      <c r="A172" t="s">
        <v>324</v>
      </c>
      <c r="B172" t="s">
        <v>25</v>
      </c>
      <c r="C172" t="s">
        <v>15</v>
      </c>
      <c r="D172" t="s">
        <v>16</v>
      </c>
      <c r="E172" t="s">
        <v>20</v>
      </c>
      <c r="F172">
        <v>4</v>
      </c>
      <c r="G172">
        <v>61592</v>
      </c>
      <c r="H172">
        <v>19819.419999999998</v>
      </c>
    </row>
    <row r="173" spans="1:8" x14ac:dyDescent="0.3">
      <c r="A173" t="s">
        <v>325</v>
      </c>
      <c r="B173" t="s">
        <v>326</v>
      </c>
      <c r="C173" t="s">
        <v>15</v>
      </c>
      <c r="D173" t="s">
        <v>16</v>
      </c>
      <c r="E173" t="s">
        <v>34</v>
      </c>
      <c r="F173">
        <v>2</v>
      </c>
      <c r="G173">
        <v>61546</v>
      </c>
      <c r="H173">
        <v>14403.28</v>
      </c>
    </row>
    <row r="174" spans="1:8" x14ac:dyDescent="0.3">
      <c r="A174" t="s">
        <v>327</v>
      </c>
      <c r="B174" t="s">
        <v>203</v>
      </c>
      <c r="C174" t="s">
        <v>47</v>
      </c>
      <c r="D174" t="s">
        <v>16</v>
      </c>
      <c r="E174" t="s">
        <v>23</v>
      </c>
      <c r="F174">
        <v>4</v>
      </c>
      <c r="G174">
        <v>68204</v>
      </c>
      <c r="H174">
        <v>12603.31</v>
      </c>
    </row>
    <row r="175" spans="1:8" x14ac:dyDescent="0.3">
      <c r="A175" t="s">
        <v>328</v>
      </c>
      <c r="B175" t="s">
        <v>116</v>
      </c>
      <c r="C175" t="s">
        <v>19</v>
      </c>
      <c r="D175" t="s">
        <v>11</v>
      </c>
      <c r="E175" t="s">
        <v>12</v>
      </c>
      <c r="F175">
        <v>5</v>
      </c>
      <c r="G175">
        <v>102880</v>
      </c>
      <c r="H175">
        <v>29115.57</v>
      </c>
    </row>
    <row r="176" spans="1:8" x14ac:dyDescent="0.3">
      <c r="A176" t="s">
        <v>329</v>
      </c>
      <c r="B176" t="s">
        <v>330</v>
      </c>
      <c r="C176" t="s">
        <v>31</v>
      </c>
      <c r="D176" t="s">
        <v>11</v>
      </c>
      <c r="E176" t="s">
        <v>34</v>
      </c>
      <c r="F176">
        <v>1</v>
      </c>
      <c r="G176">
        <v>14984</v>
      </c>
      <c r="H176">
        <v>2009.48</v>
      </c>
    </row>
    <row r="177" spans="1:8" x14ac:dyDescent="0.3">
      <c r="A177" t="s">
        <v>331</v>
      </c>
      <c r="B177" t="s">
        <v>223</v>
      </c>
      <c r="C177" t="s">
        <v>41</v>
      </c>
      <c r="D177" t="s">
        <v>42</v>
      </c>
      <c r="E177" t="s">
        <v>23</v>
      </c>
      <c r="F177">
        <v>5</v>
      </c>
      <c r="G177">
        <v>76360</v>
      </c>
      <c r="H177">
        <v>14372.67</v>
      </c>
    </row>
    <row r="178" spans="1:8" x14ac:dyDescent="0.3">
      <c r="A178" t="s">
        <v>332</v>
      </c>
      <c r="B178" t="s">
        <v>333</v>
      </c>
      <c r="C178" t="s">
        <v>31</v>
      </c>
      <c r="D178" t="s">
        <v>11</v>
      </c>
      <c r="E178" t="s">
        <v>12</v>
      </c>
      <c r="F178">
        <v>1</v>
      </c>
      <c r="G178">
        <v>23085</v>
      </c>
      <c r="H178">
        <v>6160.28</v>
      </c>
    </row>
    <row r="179" spans="1:8" x14ac:dyDescent="0.3">
      <c r="A179" t="s">
        <v>334</v>
      </c>
      <c r="B179" t="s">
        <v>111</v>
      </c>
      <c r="C179" t="s">
        <v>52</v>
      </c>
      <c r="D179" t="s">
        <v>16</v>
      </c>
      <c r="E179" t="s">
        <v>23</v>
      </c>
      <c r="F179">
        <v>3</v>
      </c>
      <c r="G179">
        <v>48381</v>
      </c>
      <c r="H179">
        <v>12229.54</v>
      </c>
    </row>
    <row r="180" spans="1:8" x14ac:dyDescent="0.3">
      <c r="A180" t="s">
        <v>335</v>
      </c>
      <c r="B180" t="s">
        <v>336</v>
      </c>
      <c r="C180" t="s">
        <v>31</v>
      </c>
      <c r="D180" t="s">
        <v>11</v>
      </c>
      <c r="E180" t="s">
        <v>12</v>
      </c>
      <c r="F180">
        <v>7</v>
      </c>
      <c r="G180">
        <v>170149</v>
      </c>
      <c r="H180">
        <v>58299.17</v>
      </c>
    </row>
    <row r="181" spans="1:8" x14ac:dyDescent="0.3">
      <c r="A181" t="s">
        <v>337</v>
      </c>
      <c r="B181" t="s">
        <v>298</v>
      </c>
      <c r="C181" t="s">
        <v>10</v>
      </c>
      <c r="D181" t="s">
        <v>11</v>
      </c>
      <c r="E181" t="s">
        <v>34</v>
      </c>
      <c r="F181">
        <v>5</v>
      </c>
      <c r="G181">
        <v>142815</v>
      </c>
      <c r="H181">
        <v>35534.080000000002</v>
      </c>
    </row>
    <row r="182" spans="1:8" x14ac:dyDescent="0.3">
      <c r="A182" t="s">
        <v>338</v>
      </c>
      <c r="B182" t="s">
        <v>91</v>
      </c>
      <c r="C182" t="s">
        <v>10</v>
      </c>
      <c r="D182" t="s">
        <v>11</v>
      </c>
      <c r="E182" t="s">
        <v>20</v>
      </c>
      <c r="F182">
        <v>2</v>
      </c>
      <c r="G182">
        <v>44284</v>
      </c>
      <c r="H182">
        <v>11273.34</v>
      </c>
    </row>
    <row r="183" spans="1:8" x14ac:dyDescent="0.3">
      <c r="A183" t="s">
        <v>339</v>
      </c>
      <c r="B183" t="s">
        <v>340</v>
      </c>
      <c r="C183" t="s">
        <v>10</v>
      </c>
      <c r="D183" t="s">
        <v>11</v>
      </c>
      <c r="E183" t="s">
        <v>12</v>
      </c>
      <c r="F183">
        <v>7</v>
      </c>
      <c r="G183">
        <v>58114</v>
      </c>
      <c r="H183">
        <v>9567.9500000000007</v>
      </c>
    </row>
    <row r="184" spans="1:8" x14ac:dyDescent="0.3">
      <c r="A184" t="s">
        <v>341</v>
      </c>
      <c r="B184" t="s">
        <v>342</v>
      </c>
      <c r="C184" t="s">
        <v>10</v>
      </c>
      <c r="D184" t="s">
        <v>11</v>
      </c>
      <c r="E184" t="s">
        <v>23</v>
      </c>
      <c r="F184">
        <v>1</v>
      </c>
      <c r="G184">
        <v>28030</v>
      </c>
      <c r="H184">
        <v>5820.11</v>
      </c>
    </row>
    <row r="185" spans="1:8" x14ac:dyDescent="0.3">
      <c r="A185" t="s">
        <v>343</v>
      </c>
      <c r="B185" t="s">
        <v>344</v>
      </c>
      <c r="C185" t="s">
        <v>52</v>
      </c>
      <c r="D185" t="s">
        <v>16</v>
      </c>
      <c r="E185" t="s">
        <v>12</v>
      </c>
      <c r="F185">
        <v>3</v>
      </c>
      <c r="G185">
        <v>60465</v>
      </c>
      <c r="H185">
        <v>14898.24</v>
      </c>
    </row>
    <row r="186" spans="1:8" x14ac:dyDescent="0.3">
      <c r="A186" t="s">
        <v>345</v>
      </c>
      <c r="B186" t="s">
        <v>176</v>
      </c>
      <c r="C186" t="s">
        <v>15</v>
      </c>
      <c r="D186" t="s">
        <v>16</v>
      </c>
      <c r="E186" t="s">
        <v>23</v>
      </c>
      <c r="F186">
        <v>8</v>
      </c>
      <c r="G186">
        <v>139112</v>
      </c>
      <c r="H186">
        <v>41852.47</v>
      </c>
    </row>
    <row r="187" spans="1:8" x14ac:dyDescent="0.3">
      <c r="A187" t="s">
        <v>346</v>
      </c>
      <c r="B187" t="s">
        <v>302</v>
      </c>
      <c r="C187" t="s">
        <v>47</v>
      </c>
      <c r="D187" t="s">
        <v>16</v>
      </c>
      <c r="E187" t="s">
        <v>23</v>
      </c>
      <c r="F187">
        <v>8</v>
      </c>
      <c r="G187">
        <v>48008</v>
      </c>
      <c r="H187">
        <v>10213.290000000001</v>
      </c>
    </row>
    <row r="188" spans="1:8" x14ac:dyDescent="0.3">
      <c r="A188" t="s">
        <v>347</v>
      </c>
      <c r="B188" t="s">
        <v>221</v>
      </c>
      <c r="C188" t="s">
        <v>10</v>
      </c>
      <c r="D188" t="s">
        <v>11</v>
      </c>
      <c r="E188" t="s">
        <v>23</v>
      </c>
      <c r="F188">
        <v>10</v>
      </c>
      <c r="G188">
        <v>87910</v>
      </c>
      <c r="H188">
        <v>24523.26</v>
      </c>
    </row>
    <row r="189" spans="1:8" x14ac:dyDescent="0.3">
      <c r="A189" t="s">
        <v>348</v>
      </c>
      <c r="B189" t="s">
        <v>349</v>
      </c>
      <c r="C189" t="s">
        <v>47</v>
      </c>
      <c r="D189" t="s">
        <v>16</v>
      </c>
      <c r="E189" t="s">
        <v>34</v>
      </c>
      <c r="F189">
        <v>1</v>
      </c>
      <c r="G189">
        <v>33082</v>
      </c>
      <c r="H189">
        <v>10549.88</v>
      </c>
    </row>
    <row r="190" spans="1:8" x14ac:dyDescent="0.3">
      <c r="A190" t="s">
        <v>350</v>
      </c>
      <c r="B190" t="s">
        <v>102</v>
      </c>
      <c r="C190" t="s">
        <v>19</v>
      </c>
      <c r="D190" t="s">
        <v>11</v>
      </c>
      <c r="E190" t="s">
        <v>20</v>
      </c>
      <c r="F190">
        <v>5</v>
      </c>
      <c r="G190">
        <v>119395</v>
      </c>
      <c r="H190">
        <v>23026.21</v>
      </c>
    </row>
    <row r="191" spans="1:8" x14ac:dyDescent="0.3">
      <c r="A191" t="s">
        <v>351</v>
      </c>
      <c r="B191" t="s">
        <v>352</v>
      </c>
      <c r="C191" t="s">
        <v>19</v>
      </c>
      <c r="D191" t="s">
        <v>11</v>
      </c>
      <c r="E191" t="s">
        <v>34</v>
      </c>
      <c r="F191">
        <v>4</v>
      </c>
      <c r="G191">
        <v>36356</v>
      </c>
      <c r="H191">
        <v>4722.4799999999996</v>
      </c>
    </row>
    <row r="192" spans="1:8" x14ac:dyDescent="0.3">
      <c r="A192" t="s">
        <v>353</v>
      </c>
      <c r="B192" t="s">
        <v>354</v>
      </c>
      <c r="C192" t="s">
        <v>15</v>
      </c>
      <c r="D192" t="s">
        <v>16</v>
      </c>
      <c r="E192" t="s">
        <v>23</v>
      </c>
      <c r="F192">
        <v>4</v>
      </c>
      <c r="G192">
        <v>131380</v>
      </c>
      <c r="H192">
        <v>16935.849999999999</v>
      </c>
    </row>
    <row r="193" spans="1:8" x14ac:dyDescent="0.3">
      <c r="A193" t="s">
        <v>355</v>
      </c>
      <c r="B193" t="s">
        <v>237</v>
      </c>
      <c r="C193" t="s">
        <v>26</v>
      </c>
      <c r="D193" t="s">
        <v>16</v>
      </c>
      <c r="E193" t="s">
        <v>20</v>
      </c>
      <c r="F193">
        <v>5</v>
      </c>
      <c r="G193">
        <v>170000</v>
      </c>
      <c r="H193">
        <v>37563.9</v>
      </c>
    </row>
    <row r="194" spans="1:8" x14ac:dyDescent="0.3">
      <c r="A194" t="s">
        <v>356</v>
      </c>
      <c r="B194" t="s">
        <v>357</v>
      </c>
      <c r="C194" t="s">
        <v>19</v>
      </c>
      <c r="D194" t="s">
        <v>11</v>
      </c>
      <c r="E194" t="s">
        <v>12</v>
      </c>
      <c r="F194">
        <v>9</v>
      </c>
      <c r="G194">
        <v>340767</v>
      </c>
      <c r="H194">
        <v>118926.59</v>
      </c>
    </row>
    <row r="195" spans="1:8" x14ac:dyDescent="0.3">
      <c r="A195" t="s">
        <v>358</v>
      </c>
      <c r="B195" t="s">
        <v>359</v>
      </c>
      <c r="C195" t="s">
        <v>10</v>
      </c>
      <c r="D195" t="s">
        <v>11</v>
      </c>
      <c r="E195" t="s">
        <v>23</v>
      </c>
      <c r="F195">
        <v>3</v>
      </c>
      <c r="G195">
        <v>146601</v>
      </c>
      <c r="H195">
        <v>51080.3</v>
      </c>
    </row>
    <row r="196" spans="1:8" x14ac:dyDescent="0.3">
      <c r="A196" t="s">
        <v>360</v>
      </c>
      <c r="B196" t="s">
        <v>361</v>
      </c>
      <c r="C196" t="s">
        <v>26</v>
      </c>
      <c r="D196" t="s">
        <v>16</v>
      </c>
      <c r="E196" t="s">
        <v>23</v>
      </c>
      <c r="F196">
        <v>9</v>
      </c>
      <c r="G196">
        <v>428850</v>
      </c>
      <c r="H196">
        <v>117447.71</v>
      </c>
    </row>
    <row r="197" spans="1:8" x14ac:dyDescent="0.3">
      <c r="A197" t="s">
        <v>362</v>
      </c>
      <c r="B197" t="s">
        <v>363</v>
      </c>
      <c r="C197" t="s">
        <v>10</v>
      </c>
      <c r="D197" t="s">
        <v>11</v>
      </c>
      <c r="E197" t="s">
        <v>12</v>
      </c>
      <c r="F197">
        <v>8</v>
      </c>
      <c r="G197">
        <v>305000</v>
      </c>
      <c r="H197">
        <v>44801.7</v>
      </c>
    </row>
    <row r="198" spans="1:8" x14ac:dyDescent="0.3">
      <c r="A198" t="s">
        <v>364</v>
      </c>
      <c r="B198" t="s">
        <v>309</v>
      </c>
      <c r="C198" t="s">
        <v>52</v>
      </c>
      <c r="D198" t="s">
        <v>16</v>
      </c>
      <c r="E198" t="s">
        <v>23</v>
      </c>
      <c r="F198">
        <v>3</v>
      </c>
      <c r="G198">
        <v>65967</v>
      </c>
      <c r="H198">
        <v>15836.21</v>
      </c>
    </row>
    <row r="199" spans="1:8" x14ac:dyDescent="0.3">
      <c r="A199" t="s">
        <v>365</v>
      </c>
      <c r="B199" t="s">
        <v>366</v>
      </c>
      <c r="C199" t="s">
        <v>10</v>
      </c>
      <c r="D199" t="s">
        <v>11</v>
      </c>
      <c r="E199" t="s">
        <v>23</v>
      </c>
      <c r="F199">
        <v>9</v>
      </c>
      <c r="G199">
        <v>71847</v>
      </c>
      <c r="H199">
        <v>13872.5</v>
      </c>
    </row>
    <row r="200" spans="1:8" x14ac:dyDescent="0.3">
      <c r="A200" t="s">
        <v>367</v>
      </c>
      <c r="B200" t="s">
        <v>368</v>
      </c>
      <c r="C200" t="s">
        <v>31</v>
      </c>
      <c r="D200" t="s">
        <v>11</v>
      </c>
      <c r="E200" t="s">
        <v>23</v>
      </c>
      <c r="F200">
        <v>8</v>
      </c>
      <c r="G200">
        <v>78968</v>
      </c>
      <c r="H200">
        <v>20757.830000000002</v>
      </c>
    </row>
    <row r="201" spans="1:8" x14ac:dyDescent="0.3">
      <c r="A201" t="s">
        <v>369</v>
      </c>
      <c r="B201" t="s">
        <v>354</v>
      </c>
      <c r="C201" t="s">
        <v>26</v>
      </c>
      <c r="D201" t="s">
        <v>16</v>
      </c>
      <c r="E201" t="s">
        <v>20</v>
      </c>
      <c r="F201">
        <v>3</v>
      </c>
      <c r="G201">
        <v>8319</v>
      </c>
      <c r="H201">
        <v>2892.42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3"/>
  <sheetViews>
    <sheetView workbookViewId="0"/>
  </sheetViews>
  <sheetFormatPr defaultRowHeight="14.4" x14ac:dyDescent="0.3"/>
  <sheetData>
    <row r="1" spans="1:11" ht="21" x14ac:dyDescent="0.4">
      <c r="A1" s="2" t="s">
        <v>370</v>
      </c>
      <c r="D1" t="s">
        <v>371</v>
      </c>
      <c r="E1" t="s">
        <v>372</v>
      </c>
    </row>
    <row r="2" spans="1:11" x14ac:dyDescent="0.3">
      <c r="D2" t="s">
        <v>373</v>
      </c>
      <c r="E2">
        <v>605266</v>
      </c>
    </row>
    <row r="3" spans="1:11" x14ac:dyDescent="0.3">
      <c r="A3" t="s">
        <v>374</v>
      </c>
      <c r="B3">
        <f>SUM(Sales_Data!G2:G201)</f>
        <v>27100458</v>
      </c>
      <c r="D3" t="s">
        <v>375</v>
      </c>
      <c r="E3">
        <v>653440</v>
      </c>
    </row>
    <row r="4" spans="1:11" x14ac:dyDescent="0.3">
      <c r="A4" t="s">
        <v>376</v>
      </c>
      <c r="B4">
        <f>SUM(Sales_Data!H2:H201)</f>
        <v>6216511.7300000004</v>
      </c>
      <c r="D4" t="s">
        <v>377</v>
      </c>
      <c r="E4">
        <v>312349</v>
      </c>
    </row>
    <row r="5" spans="1:11" x14ac:dyDescent="0.3">
      <c r="A5" t="s">
        <v>378</v>
      </c>
      <c r="B5">
        <f>COUNTA(Sales_Data!A2:A201)</f>
        <v>200</v>
      </c>
      <c r="D5" t="s">
        <v>379</v>
      </c>
      <c r="E5">
        <v>173158</v>
      </c>
    </row>
    <row r="6" spans="1:11" x14ac:dyDescent="0.3">
      <c r="A6" t="s">
        <v>380</v>
      </c>
      <c r="B6">
        <f>AVERAGE(Sales_Data!G2:G201)</f>
        <v>135502.29</v>
      </c>
      <c r="D6" t="s">
        <v>381</v>
      </c>
      <c r="E6">
        <v>127793</v>
      </c>
    </row>
    <row r="7" spans="1:11" x14ac:dyDescent="0.3">
      <c r="D7" t="s">
        <v>382</v>
      </c>
      <c r="E7">
        <v>230683</v>
      </c>
    </row>
    <row r="8" spans="1:11" x14ac:dyDescent="0.3">
      <c r="D8" t="s">
        <v>383</v>
      </c>
      <c r="E8">
        <v>660305</v>
      </c>
    </row>
    <row r="9" spans="1:11" x14ac:dyDescent="0.3">
      <c r="D9" t="s">
        <v>384</v>
      </c>
      <c r="E9">
        <v>338039</v>
      </c>
    </row>
    <row r="10" spans="1:11" x14ac:dyDescent="0.3">
      <c r="D10" t="s">
        <v>385</v>
      </c>
      <c r="E10">
        <v>243202</v>
      </c>
    </row>
    <row r="11" spans="1:11" x14ac:dyDescent="0.3">
      <c r="D11" t="s">
        <v>386</v>
      </c>
      <c r="E11">
        <v>614453</v>
      </c>
    </row>
    <row r="12" spans="1:11" x14ac:dyDescent="0.3">
      <c r="D12" t="s">
        <v>387</v>
      </c>
      <c r="E12">
        <v>281181</v>
      </c>
    </row>
    <row r="13" spans="1:11" x14ac:dyDescent="0.3">
      <c r="D13" t="s">
        <v>388</v>
      </c>
      <c r="E13">
        <v>140717</v>
      </c>
    </row>
    <row r="15" spans="1:11" x14ac:dyDescent="0.3">
      <c r="D15" t="s">
        <v>2</v>
      </c>
      <c r="E15" t="s">
        <v>6</v>
      </c>
      <c r="J15" t="s">
        <v>4</v>
      </c>
      <c r="K15" t="s">
        <v>6</v>
      </c>
    </row>
    <row r="16" spans="1:11" x14ac:dyDescent="0.3">
      <c r="D16" t="s">
        <v>15</v>
      </c>
      <c r="E16">
        <v>279606</v>
      </c>
      <c r="J16" t="s">
        <v>20</v>
      </c>
      <c r="K16">
        <v>251924</v>
      </c>
    </row>
    <row r="17" spans="4:11" x14ac:dyDescent="0.3">
      <c r="D17" t="s">
        <v>10</v>
      </c>
      <c r="E17">
        <v>278648</v>
      </c>
      <c r="J17" t="s">
        <v>34</v>
      </c>
      <c r="K17">
        <v>338501</v>
      </c>
    </row>
    <row r="18" spans="4:11" x14ac:dyDescent="0.3">
      <c r="D18" t="s">
        <v>19</v>
      </c>
      <c r="E18">
        <v>382814</v>
      </c>
      <c r="J18" t="s">
        <v>23</v>
      </c>
      <c r="K18">
        <v>360528</v>
      </c>
    </row>
    <row r="19" spans="4:11" x14ac:dyDescent="0.3">
      <c r="D19" t="s">
        <v>26</v>
      </c>
      <c r="E19">
        <v>115347</v>
      </c>
      <c r="J19" t="s">
        <v>12</v>
      </c>
      <c r="K19">
        <v>412742</v>
      </c>
    </row>
    <row r="20" spans="4:11" x14ac:dyDescent="0.3">
      <c r="D20" t="s">
        <v>41</v>
      </c>
      <c r="E20">
        <v>386912</v>
      </c>
    </row>
    <row r="21" spans="4:11" x14ac:dyDescent="0.3">
      <c r="D21" t="s">
        <v>47</v>
      </c>
      <c r="E21">
        <v>167342</v>
      </c>
    </row>
    <row r="22" spans="4:11" x14ac:dyDescent="0.3">
      <c r="D22" t="s">
        <v>52</v>
      </c>
      <c r="E22">
        <v>383035</v>
      </c>
    </row>
    <row r="23" spans="4:11" x14ac:dyDescent="0.3">
      <c r="D23" t="s">
        <v>31</v>
      </c>
      <c r="E23">
        <v>463608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Sales_Data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Harini D</cp:lastModifiedBy>
  <dcterms:created xsi:type="dcterms:W3CDTF">2026-05-21T13:27:33Z</dcterms:created>
  <dcterms:modified xsi:type="dcterms:W3CDTF">2026-05-21T13:34:03Z</dcterms:modified>
</cp:coreProperties>
</file>